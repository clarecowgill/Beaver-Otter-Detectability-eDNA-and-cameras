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https://liveuclac-my.sharepoint.com/personal/ucbtowg_ucl_ac_uk/Documents/University of Hull/Cropton chapter/Data Upload/"/>
    </mc:Choice>
  </mc:AlternateContent>
  <xr:revisionPtr revIDLastSave="911" documentId="8_{DB410DF9-1E94-5F41-90E9-0777A0423601}" xr6:coauthVersionLast="47" xr6:coauthVersionMax="47" xr10:uidLastSave="{9D908856-57C6-F04D-9B98-208CD4FF3B3A}"/>
  <bookViews>
    <workbookView xWindow="0" yWindow="660" windowWidth="30240" windowHeight="17440" activeTab="7" xr2:uid="{00000000-000D-0000-FFFF-FFFF00000000}"/>
  </bookViews>
  <sheets>
    <sheet name="README" sheetId="1" r:id="rId1"/>
    <sheet name="projectMetadata" sheetId="2" r:id="rId2"/>
    <sheet name="Drop-down values" sheetId="3" r:id="rId3"/>
    <sheet name="sampleMetadata" sheetId="4" r:id="rId4"/>
    <sheet name="ampData" sheetId="5" r:id="rId5"/>
    <sheet name="stdData" sheetId="6" r:id="rId6"/>
    <sheet name="eLowQuantData" sheetId="7" r:id="rId7"/>
    <sheet name="experimentRunMetadata" sheetId="8" r:id="rId8"/>
    <sheet name="taxaRaw" sheetId="9" r:id="rId9"/>
    <sheet name="taxaFinal"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4" l="1"/>
  <c r="F165" i="4"/>
  <c r="F164" i="4"/>
  <c r="F163" i="4"/>
  <c r="E162" i="4"/>
  <c r="E161" i="4"/>
  <c r="E160" i="4"/>
  <c r="F150" i="4"/>
  <c r="F149" i="4"/>
  <c r="F148" i="4"/>
  <c r="E147" i="4"/>
  <c r="E146" i="4"/>
  <c r="F145" i="4"/>
  <c r="F135" i="4"/>
  <c r="F134" i="4"/>
  <c r="F133" i="4"/>
  <c r="E132" i="4"/>
  <c r="E131" i="4"/>
  <c r="E130" i="4"/>
  <c r="F120" i="4"/>
  <c r="F119" i="4"/>
  <c r="F118" i="4"/>
  <c r="E117" i="4"/>
  <c r="E116" i="4"/>
  <c r="F115" i="4"/>
  <c r="F105" i="4"/>
  <c r="F104" i="4"/>
  <c r="F103" i="4"/>
  <c r="E102" i="4"/>
  <c r="E101" i="4"/>
  <c r="E100" i="4"/>
  <c r="F90" i="4"/>
  <c r="F89" i="4"/>
  <c r="F88" i="4"/>
  <c r="E87" i="4"/>
  <c r="E86" i="4"/>
  <c r="E85" i="4"/>
  <c r="F75" i="4"/>
  <c r="F74" i="4"/>
  <c r="F73" i="4"/>
  <c r="E72" i="4"/>
  <c r="E71" i="4"/>
  <c r="E70" i="4"/>
  <c r="F60" i="4"/>
  <c r="F59" i="4"/>
  <c r="F58" i="4"/>
  <c r="G58" i="4" s="1"/>
  <c r="E57" i="4"/>
  <c r="E56" i="4"/>
  <c r="F55" i="4"/>
  <c r="G55" i="4" s="1"/>
  <c r="F45" i="4"/>
  <c r="G45" i="4" s="1"/>
  <c r="F44" i="4"/>
  <c r="G44" i="4" s="1"/>
  <c r="F43" i="4"/>
  <c r="G43" i="4" s="1"/>
  <c r="E42" i="4"/>
  <c r="E41" i="4"/>
  <c r="E40" i="4"/>
  <c r="E30" i="4"/>
  <c r="F29" i="4"/>
  <c r="G29" i="4" s="1"/>
  <c r="F28" i="4"/>
  <c r="G28" i="4" s="1"/>
  <c r="E27" i="4"/>
  <c r="E26" i="4"/>
  <c r="E25" i="4"/>
  <c r="E15" i="4"/>
  <c r="F14" i="4"/>
  <c r="G14" i="4" s="1"/>
  <c r="F13" i="4"/>
  <c r="G13" i="4" s="1"/>
  <c r="E12" i="4"/>
  <c r="E11" i="4"/>
  <c r="F10" i="4"/>
  <c r="G10" i="4" s="1"/>
  <c r="E75" i="4"/>
  <c r="E76" i="4"/>
  <c r="E77" i="4"/>
  <c r="E78" i="4"/>
  <c r="E79" i="4"/>
  <c r="E80" i="4"/>
  <c r="E81" i="4"/>
  <c r="E82" i="4"/>
  <c r="E83" i="4"/>
  <c r="E84" i="4"/>
  <c r="E89" i="4"/>
  <c r="E90" i="4"/>
  <c r="E91" i="4"/>
  <c r="E92" i="4"/>
  <c r="E93" i="4"/>
  <c r="E94" i="4"/>
  <c r="E95" i="4"/>
  <c r="E96" i="4"/>
  <c r="E97" i="4"/>
  <c r="E98" i="4"/>
  <c r="E99" i="4"/>
  <c r="E104" i="4"/>
  <c r="E105" i="4"/>
  <c r="E106" i="4"/>
  <c r="E107" i="4"/>
  <c r="E108" i="4"/>
  <c r="E109" i="4"/>
  <c r="E110" i="4"/>
  <c r="E111" i="4"/>
  <c r="E112" i="4"/>
  <c r="E113" i="4"/>
  <c r="E114" i="4"/>
  <c r="E119" i="4"/>
  <c r="E120" i="4"/>
  <c r="E121" i="4"/>
  <c r="E122" i="4"/>
  <c r="E123" i="4"/>
  <c r="E124" i="4"/>
  <c r="E125" i="4"/>
  <c r="E126" i="4"/>
  <c r="E127" i="4"/>
  <c r="E128" i="4"/>
  <c r="E129" i="4"/>
  <c r="E134" i="4"/>
  <c r="E135" i="4"/>
  <c r="E136" i="4"/>
  <c r="E137" i="4"/>
  <c r="E138" i="4"/>
  <c r="E139" i="4"/>
  <c r="E140" i="4"/>
  <c r="E141" i="4"/>
  <c r="E142" i="4"/>
  <c r="E143" i="4"/>
  <c r="E144" i="4"/>
  <c r="E149" i="4"/>
  <c r="E150" i="4"/>
  <c r="E151" i="4"/>
  <c r="E152" i="4"/>
  <c r="E153" i="4"/>
  <c r="E154" i="4"/>
  <c r="E155" i="4"/>
  <c r="E156" i="4"/>
  <c r="E157" i="4"/>
  <c r="E158" i="4"/>
  <c r="E159" i="4"/>
  <c r="E164" i="4"/>
  <c r="E165" i="4"/>
  <c r="E166" i="4"/>
  <c r="E167" i="4"/>
  <c r="E168" i="4"/>
  <c r="E169" i="4"/>
  <c r="E170" i="4"/>
  <c r="E171" i="4"/>
  <c r="E172" i="4"/>
  <c r="E173" i="4"/>
  <c r="E174" i="4"/>
  <c r="F5" i="4"/>
  <c r="G5" i="4" s="1"/>
  <c r="F6" i="4"/>
  <c r="G6" i="4" s="1"/>
  <c r="F7" i="4"/>
  <c r="G7" i="4" s="1"/>
  <c r="F8" i="4"/>
  <c r="G8" i="4" s="1"/>
  <c r="F9" i="4"/>
  <c r="G9" i="4" s="1"/>
  <c r="F11" i="4"/>
  <c r="G11" i="4" s="1"/>
  <c r="F12" i="4"/>
  <c r="G12" i="4" s="1"/>
  <c r="F16" i="4"/>
  <c r="G16" i="4" s="1"/>
  <c r="F17" i="4"/>
  <c r="G17" i="4" s="1"/>
  <c r="F18" i="4"/>
  <c r="G18" i="4" s="1"/>
  <c r="F19" i="4"/>
  <c r="G19" i="4" s="1"/>
  <c r="F20" i="4"/>
  <c r="G20" i="4" s="1"/>
  <c r="F21" i="4"/>
  <c r="G21" i="4" s="1"/>
  <c r="F22" i="4"/>
  <c r="G22" i="4" s="1"/>
  <c r="F23" i="4"/>
  <c r="G23" i="4" s="1"/>
  <c r="F24" i="4"/>
  <c r="G24" i="4" s="1"/>
  <c r="F26" i="4"/>
  <c r="G26" i="4" s="1"/>
  <c r="F27" i="4"/>
  <c r="G27" i="4" s="1"/>
  <c r="F31" i="4"/>
  <c r="G31" i="4" s="1"/>
  <c r="F32" i="4"/>
  <c r="G32" i="4" s="1"/>
  <c r="F33" i="4"/>
  <c r="G33" i="4" s="1"/>
  <c r="F34" i="4"/>
  <c r="G34" i="4" s="1"/>
  <c r="F35" i="4"/>
  <c r="G35" i="4" s="1"/>
  <c r="F36" i="4"/>
  <c r="G36" i="4" s="1"/>
  <c r="F37" i="4"/>
  <c r="G37" i="4" s="1"/>
  <c r="F38" i="4"/>
  <c r="G38" i="4" s="1"/>
  <c r="F39" i="4"/>
  <c r="G39" i="4" s="1"/>
  <c r="F41" i="4"/>
  <c r="G41" i="4" s="1"/>
  <c r="F42" i="4"/>
  <c r="G42" i="4" s="1"/>
  <c r="F46" i="4"/>
  <c r="G46" i="4" s="1"/>
  <c r="F47" i="4"/>
  <c r="G47" i="4" s="1"/>
  <c r="F48" i="4"/>
  <c r="G48" i="4" s="1"/>
  <c r="F49" i="4"/>
  <c r="G49" i="4" s="1"/>
  <c r="F50" i="4"/>
  <c r="G50" i="4" s="1"/>
  <c r="F51" i="4"/>
  <c r="G51" i="4" s="1"/>
  <c r="F52" i="4"/>
  <c r="G52" i="4" s="1"/>
  <c r="F53" i="4"/>
  <c r="G53" i="4" s="1"/>
  <c r="F54" i="4"/>
  <c r="G54" i="4" s="1"/>
  <c r="F57" i="4"/>
  <c r="G57" i="4" s="1"/>
  <c r="F61" i="4"/>
  <c r="F62" i="4"/>
  <c r="F63" i="4"/>
  <c r="F64" i="4"/>
  <c r="F65" i="4"/>
  <c r="F66" i="4"/>
  <c r="F67" i="4"/>
  <c r="F68" i="4"/>
  <c r="F69" i="4"/>
  <c r="F72" i="4"/>
  <c r="F76" i="4"/>
  <c r="F77" i="4"/>
  <c r="F78" i="4"/>
  <c r="F79" i="4"/>
  <c r="F80" i="4"/>
  <c r="F81" i="4"/>
  <c r="F82" i="4"/>
  <c r="F83" i="4"/>
  <c r="F84" i="4"/>
  <c r="F86" i="4"/>
  <c r="F87" i="4"/>
  <c r="F91" i="4"/>
  <c r="F92" i="4"/>
  <c r="F93" i="4"/>
  <c r="F94" i="4"/>
  <c r="F95" i="4"/>
  <c r="F96" i="4"/>
  <c r="F97" i="4"/>
  <c r="F98" i="4"/>
  <c r="F99" i="4"/>
  <c r="F101" i="4"/>
  <c r="F102" i="4"/>
  <c r="F106" i="4"/>
  <c r="F107" i="4"/>
  <c r="F108" i="4"/>
  <c r="F109" i="4"/>
  <c r="F110" i="4"/>
  <c r="F111" i="4"/>
  <c r="F112" i="4"/>
  <c r="F113" i="4"/>
  <c r="F114" i="4"/>
  <c r="F116" i="4"/>
  <c r="F117" i="4"/>
  <c r="F121" i="4"/>
  <c r="F122" i="4"/>
  <c r="F123" i="4"/>
  <c r="F124" i="4"/>
  <c r="F125" i="4"/>
  <c r="F126" i="4"/>
  <c r="F127" i="4"/>
  <c r="F128" i="4"/>
  <c r="F129" i="4"/>
  <c r="F131" i="4"/>
  <c r="F132" i="4"/>
  <c r="F136" i="4"/>
  <c r="F137" i="4"/>
  <c r="F138" i="4"/>
  <c r="F139" i="4"/>
  <c r="F140" i="4"/>
  <c r="F141" i="4"/>
  <c r="F142" i="4"/>
  <c r="F143" i="4"/>
  <c r="F144" i="4"/>
  <c r="F146" i="4"/>
  <c r="F147" i="4"/>
  <c r="F151" i="4"/>
  <c r="F152" i="4"/>
  <c r="F153" i="4"/>
  <c r="F154" i="4"/>
  <c r="F155" i="4"/>
  <c r="F156" i="4"/>
  <c r="F157" i="4"/>
  <c r="F158" i="4"/>
  <c r="F159" i="4"/>
  <c r="F161" i="4"/>
  <c r="F162" i="4"/>
  <c r="F166" i="4"/>
  <c r="F167" i="4"/>
  <c r="F168" i="4"/>
  <c r="F169" i="4"/>
  <c r="F170" i="4"/>
  <c r="F171" i="4"/>
  <c r="F172" i="4"/>
  <c r="F173" i="4"/>
  <c r="F174" i="4"/>
  <c r="G4" i="4"/>
  <c r="E4" i="4"/>
  <c r="E5" i="4"/>
  <c r="E6" i="4"/>
  <c r="E7" i="4"/>
  <c r="E8" i="4"/>
  <c r="E9" i="4"/>
  <c r="E13" i="4"/>
  <c r="E14" i="4"/>
  <c r="E16" i="4"/>
  <c r="E17" i="4"/>
  <c r="E18" i="4"/>
  <c r="E19" i="4"/>
  <c r="E20" i="4"/>
  <c r="E21" i="4"/>
  <c r="E22" i="4"/>
  <c r="E23" i="4"/>
  <c r="E24" i="4"/>
  <c r="E31" i="4"/>
  <c r="E32" i="4"/>
  <c r="E33" i="4"/>
  <c r="E34" i="4"/>
  <c r="E35" i="4"/>
  <c r="E36" i="4"/>
  <c r="E37" i="4"/>
  <c r="E38" i="4"/>
  <c r="E39" i="4"/>
  <c r="E43" i="4"/>
  <c r="E44" i="4"/>
  <c r="E45" i="4"/>
  <c r="E46" i="4"/>
  <c r="E47" i="4"/>
  <c r="E48" i="4"/>
  <c r="E49" i="4"/>
  <c r="E50" i="4"/>
  <c r="E51" i="4"/>
  <c r="E52" i="4"/>
  <c r="E53" i="4"/>
  <c r="E54" i="4"/>
  <c r="E55" i="4"/>
  <c r="E61" i="4"/>
  <c r="E62" i="4"/>
  <c r="E63" i="4"/>
  <c r="E64" i="4"/>
  <c r="E65" i="4"/>
  <c r="E66" i="4"/>
  <c r="E67" i="4"/>
  <c r="E68" i="4"/>
  <c r="E69" i="4"/>
  <c r="F160" i="4" l="1"/>
  <c r="F100" i="4"/>
  <c r="F40" i="4"/>
  <c r="G40" i="4" s="1"/>
  <c r="F56" i="4"/>
  <c r="G56" i="4" s="1"/>
  <c r="F130" i="4"/>
  <c r="F85" i="4"/>
  <c r="F25" i="4"/>
  <c r="G25" i="4" s="1"/>
  <c r="E145" i="4"/>
  <c r="E115" i="4"/>
  <c r="E103" i="4"/>
  <c r="F71" i="4"/>
  <c r="E163" i="4"/>
  <c r="E88" i="4"/>
  <c r="E60" i="4"/>
  <c r="E29" i="4"/>
  <c r="E148" i="4"/>
  <c r="E74" i="4"/>
  <c r="E59" i="4"/>
  <c r="E28" i="4"/>
  <c r="E133" i="4"/>
  <c r="E73" i="4"/>
  <c r="E58" i="4"/>
  <c r="E118" i="4"/>
  <c r="E10" i="4"/>
  <c r="F30" i="4"/>
  <c r="G30" i="4" s="1"/>
  <c r="F15" i="4"/>
  <c r="G15" i="4" s="1"/>
  <c r="F7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C2" authorId="0" shapeId="0" xr:uid="{00000000-0006-0000-01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list (concatenated and separated) of names of people responsible for the submitted dataset
</t>
        </r>
        <r>
          <rPr>
            <b/>
            <sz val="11"/>
            <color rgb="FF000000"/>
            <rFont val="Calibri"/>
            <family val="2"/>
          </rPr>
          <t xml:space="preserve">Example : </t>
        </r>
        <r>
          <rPr>
            <sz val="11"/>
            <color rgb="FF000000"/>
            <rFont val="Calibri"/>
            <family val="2"/>
          </rPr>
          <t xml:space="preserve">José E. Crespo
</t>
        </r>
        <r>
          <rPr>
            <b/>
            <sz val="11"/>
            <color rgb="FF000000"/>
            <rFont val="Calibri"/>
            <family val="2"/>
          </rPr>
          <t xml:space="preserve">Field type : </t>
        </r>
        <r>
          <rPr>
            <sz val="11"/>
            <color rgb="FF000000"/>
            <rFont val="Calibri"/>
            <family val="2"/>
          </rPr>
          <t xml:space="preserve">free text
</t>
        </r>
      </text>
    </comment>
    <comment ref="C3" authorId="0" shapeId="0" xr:uid="{00000000-0006-0000-01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(concatenated and separated) of the globally unique identifier for the people responsible for the submitted dataset
</t>
        </r>
        <r>
          <rPr>
            <b/>
            <sz val="11"/>
            <color rgb="FF000000"/>
            <rFont val="Calibri"/>
            <family val="2"/>
          </rPr>
          <t xml:space="preserve">Example : </t>
        </r>
        <r>
          <rPr>
            <sz val="11"/>
            <color rgb="FF000000"/>
            <rFont val="Calibri"/>
            <family val="2"/>
          </rPr>
          <t xml:space="preserve">https://orcid.org/0000-0002-1825-0097  |  https://orcid.org/0000-0002-1825-0098
</t>
        </r>
        <r>
          <rPr>
            <b/>
            <sz val="11"/>
            <color rgb="FF000000"/>
            <rFont val="Calibri"/>
            <family val="2"/>
          </rPr>
          <t xml:space="preserve">Field type : </t>
        </r>
        <r>
          <rPr>
            <sz val="11"/>
            <color rgb="FF000000"/>
            <rFont val="Calibri"/>
            <family val="2"/>
          </rPr>
          <t xml:space="preserve">free text
</t>
        </r>
      </text>
    </comment>
    <comment ref="C4" authorId="0" shapeId="0" xr:uid="{00000000-0006-0000-0100-000003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contact person and their contact (i.e., email address) for data enquiry
</t>
        </r>
        <r>
          <rPr>
            <b/>
            <sz val="11"/>
            <color rgb="FF000000"/>
            <rFont val="Calibri"/>
            <family val="2"/>
          </rPr>
          <t xml:space="preserve">Example : </t>
        </r>
        <r>
          <rPr>
            <sz val="11"/>
            <color rgb="FF000000"/>
            <rFont val="Calibri"/>
            <family val="2"/>
          </rPr>
          <t xml:space="preserve">xxxx@yyyy.com
</t>
        </r>
        <r>
          <rPr>
            <b/>
            <sz val="11"/>
            <color rgb="FF000000"/>
            <rFont val="Calibri"/>
            <family val="2"/>
          </rPr>
          <t xml:space="preserve">Field type : </t>
        </r>
        <r>
          <rPr>
            <sz val="11"/>
            <color rgb="FF000000"/>
            <rFont val="Calibri"/>
            <family val="2"/>
          </rPr>
          <t xml:space="preserve">free text
</t>
        </r>
      </text>
    </comment>
    <comment ref="C5" authorId="0" shapeId="0" xr:uid="{00000000-0006-0000-01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institution having custody of the object(s) or information referred to in the record.
</t>
        </r>
        <r>
          <rPr>
            <b/>
            <sz val="11"/>
            <color rgb="FF000000"/>
            <rFont val="Calibri"/>
            <family val="2"/>
          </rPr>
          <t xml:space="preserve">Example : </t>
        </r>
        <r>
          <rPr>
            <sz val="11"/>
            <color rgb="FF000000"/>
            <rFont val="Calibri"/>
            <family val="2"/>
          </rPr>
          <t xml:space="preserve">Curtin University
</t>
        </r>
        <r>
          <rPr>
            <b/>
            <sz val="11"/>
            <color rgb="FF000000"/>
            <rFont val="Calibri"/>
            <family val="2"/>
          </rPr>
          <t xml:space="preserve">Field type : </t>
        </r>
        <r>
          <rPr>
            <sz val="11"/>
            <color rgb="FF000000"/>
            <rFont val="Calibri"/>
            <family val="2"/>
          </rPr>
          <t xml:space="preserve">free text
</t>
        </r>
      </text>
    </comment>
    <comment ref="C6" authorId="0" shapeId="0" xr:uid="{00000000-0006-0000-01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identifier for the institution having custody of the object(s) or information referred to in the record. This identifier should point to a persistent, resolvable identifier, such as a Research Organization Registry (ROR) ID or ISNI (International Standard Name Identifier).
</t>
        </r>
        <r>
          <rPr>
            <b/>
            <sz val="11"/>
            <color rgb="FF000000"/>
            <rFont val="Calibri"/>
            <family val="2"/>
          </rPr>
          <t xml:space="preserve">Example : </t>
        </r>
        <r>
          <rPr>
            <sz val="11"/>
            <color rgb="FF000000"/>
            <rFont val="Calibri"/>
            <family val="2"/>
          </rPr>
          <t xml:space="preserve">https://ror.org/042r9xb17
</t>
        </r>
        <r>
          <rPr>
            <b/>
            <sz val="11"/>
            <color rgb="FF000000"/>
            <rFont val="Calibri"/>
            <family val="2"/>
          </rPr>
          <t xml:space="preserve">Field type : </t>
        </r>
        <r>
          <rPr>
            <sz val="11"/>
            <color rgb="FF000000"/>
            <rFont val="Calibri"/>
            <family val="2"/>
          </rPr>
          <t xml:space="preserve">free text
</t>
        </r>
      </text>
    </comment>
    <comment ref="C7" authorId="0" shapeId="0" xr:uid="{00000000-0006-0000-01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project within which the sequencing was organized
</t>
        </r>
        <r>
          <rPr>
            <b/>
            <sz val="11"/>
            <color rgb="FF000000"/>
            <rFont val="Calibri"/>
            <family val="2"/>
          </rPr>
          <t xml:space="preserve">Example : </t>
        </r>
        <r>
          <rPr>
            <sz val="11"/>
            <color rgb="FF000000"/>
            <rFont val="Calibri"/>
            <family val="2"/>
          </rPr>
          <t xml:space="preserve">Forest soil metagenome
</t>
        </r>
        <r>
          <rPr>
            <b/>
            <sz val="11"/>
            <color rgb="FF000000"/>
            <rFont val="Calibri"/>
            <family val="2"/>
          </rPr>
          <t xml:space="preserve">Field type : </t>
        </r>
        <r>
          <rPr>
            <sz val="11"/>
            <color rgb="FF000000"/>
            <rFont val="Calibri"/>
            <family val="2"/>
          </rPr>
          <t xml:space="preserve">free text
</t>
        </r>
      </text>
    </comment>
    <comment ref="C8" authorId="0" shapeId="0" xr:uid="{00000000-0006-0000-0100-000007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project identifier with no spaces or special characters, ensuring machine readability. This ID will be used in data file names as 'project_id'.
</t>
        </r>
        <r>
          <rPr>
            <b/>
            <sz val="11"/>
            <color rgb="FF000000"/>
            <rFont val="Calibri"/>
            <family val="2"/>
          </rPr>
          <t xml:space="preserve">Example : </t>
        </r>
        <r>
          <rPr>
            <sz val="11"/>
            <color rgb="FF000000"/>
            <rFont val="Calibri"/>
            <family val="2"/>
          </rPr>
          <t xml:space="preserve">noaa-aoml-gomecc4
</t>
        </r>
        <r>
          <rPr>
            <b/>
            <sz val="11"/>
            <color rgb="FF000000"/>
            <rFont val="Calibri"/>
            <family val="2"/>
          </rPr>
          <t xml:space="preserve">Field type : </t>
        </r>
        <r>
          <rPr>
            <sz val="11"/>
            <color rgb="FF000000"/>
            <rFont val="Calibri"/>
            <family val="2"/>
          </rPr>
          <t xml:space="preserve">free text
</t>
        </r>
      </text>
    </comment>
    <comment ref="C9" authorId="0" shapeId="0" xr:uid="{00000000-0006-0000-0100-00000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An identifier or name of the overarching (parent) project that encompasses and organizes multiple related sub-projects, each identified by a unique project_id
</t>
        </r>
        <r>
          <rPr>
            <b/>
            <sz val="11"/>
            <color rgb="FF000000"/>
            <rFont val="Calibri"/>
            <family val="2"/>
          </rPr>
          <t xml:space="preserve">Example : </t>
        </r>
        <r>
          <rPr>
            <sz val="11"/>
            <color rgb="FF000000"/>
            <rFont val="Calibri"/>
            <family val="2"/>
          </rPr>
          <t xml:space="preserve">noaa-aoml-gomecc
</t>
        </r>
        <r>
          <rPr>
            <b/>
            <sz val="11"/>
            <color rgb="FF000000"/>
            <rFont val="Calibri"/>
            <family val="2"/>
          </rPr>
          <t xml:space="preserve">Field type : </t>
        </r>
        <r>
          <rPr>
            <sz val="11"/>
            <color rgb="FF000000"/>
            <rFont val="Calibri"/>
            <family val="2"/>
          </rPr>
          <t xml:space="preserve">free text
</t>
        </r>
      </text>
    </comment>
    <comment ref="C10" authorId="0" shapeId="0" xr:uid="{00000000-0006-0000-0100-00000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variable(s) examined in the study, including those of direct interests to address study aims and covariates.
</t>
        </r>
        <r>
          <rPr>
            <b/>
            <sz val="11"/>
            <color rgb="FF000000"/>
            <rFont val="Calibri"/>
            <family val="2"/>
          </rPr>
          <t xml:space="preserve">Example : </t>
        </r>
        <r>
          <rPr>
            <sz val="11"/>
            <color rgb="FF000000"/>
            <rFont val="Calibri"/>
            <family val="2"/>
          </rPr>
          <t xml:space="preserve">benthic habitat types | diurnal time series | filter types
</t>
        </r>
        <r>
          <rPr>
            <b/>
            <sz val="11"/>
            <color rgb="FF000000"/>
            <rFont val="Calibri"/>
            <family val="2"/>
          </rPr>
          <t xml:space="preserve">Field type : </t>
        </r>
        <r>
          <rPr>
            <sz val="11"/>
            <color rgb="FF000000"/>
            <rFont val="Calibri"/>
            <family val="2"/>
          </rPr>
          <t xml:space="preserve">free text
</t>
        </r>
      </text>
    </comment>
    <comment ref="C11" authorId="0" shapeId="0" xr:uid="{00000000-0006-0000-0100-00000A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method used in the eDNA study to detect taxon/taxa of interest in environmental sample. A targeted eDNA assay is designed to detect the presence of a specific species or a small subset of taxa (such as a genus or family) using techniques like quantitative PCR (qPCR). This contrasts with a metabarcoding eDNA assay which aims to characterize the composition of broader taxonomic communities, often encompassing multiple phyletic groups, by utilising high-throughput sequencing such as metabarcoding
</t>
        </r>
        <r>
          <rPr>
            <b/>
            <sz val="11"/>
            <color rgb="FF000000"/>
            <rFont val="Calibri"/>
            <family val="2"/>
          </rPr>
          <t xml:space="preserve">Example : </t>
        </r>
        <r>
          <rPr>
            <sz val="11"/>
            <color rgb="FF000000"/>
            <rFont val="Calibri"/>
            <family val="2"/>
          </rPr>
          <t xml:space="preserve">targeted
</t>
        </r>
        <r>
          <rPr>
            <b/>
            <sz val="11"/>
            <color rgb="FF000000"/>
            <rFont val="Calibri"/>
            <family val="2"/>
          </rPr>
          <t xml:space="preserve">Field type : </t>
        </r>
        <r>
          <rPr>
            <sz val="11"/>
            <color rgb="FFFF0000"/>
            <rFont val="Calibri"/>
            <family val="2"/>
          </rPr>
          <t xml:space="preserve">controlled vocabulary (targeted | metabarcoding | other:)
</t>
        </r>
      </text>
    </comment>
    <comment ref="C12" authorId="0" shapeId="0" xr:uid="{00000000-0006-0000-01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protocols to minimise contaminations in the field and/or laboratory
</t>
        </r>
        <r>
          <rPr>
            <b/>
            <sz val="11"/>
            <color rgb="FF000000"/>
            <rFont val="Calibri"/>
            <family val="2"/>
          </rPr>
          <t xml:space="preserve">Example : </t>
        </r>
        <r>
          <rPr>
            <sz val="11"/>
            <color rgb="FF000000"/>
            <rFont val="Calibri"/>
            <family val="2"/>
          </rPr>
          <t xml:space="preserve">Sampling bottles were rinsed with 10% bleached and DI water. Single-use syringes and capsule filters were used for filtration. Single-use gloves were used to collect and filter each sample.
</t>
        </r>
        <r>
          <rPr>
            <b/>
            <sz val="11"/>
            <color rgb="FF000000"/>
            <rFont val="Calibri"/>
            <family val="2"/>
          </rPr>
          <t xml:space="preserve">Field type : </t>
        </r>
        <r>
          <rPr>
            <sz val="11"/>
            <color rgb="FF000000"/>
            <rFont val="Calibri"/>
            <family val="2"/>
          </rPr>
          <t xml:space="preserve">free text
</t>
        </r>
      </text>
    </comment>
    <comment ref="C13" authorId="0" shapeId="0" xr:uid="{00000000-0006-0000-01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Were negative controls applied during the project? Yes = 1, No = 0. For further details, record the types of negative controls under the term neg_cont_type in sampleMetadata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14" authorId="0" shapeId="0" xr:uid="{00000000-0006-0000-01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Were positive controls applied during the project? Yes = 1, No = 0. For further details, record the types of positive controls under the term pos_cont_type in sampleMetadata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15" authorId="0" shapeId="0" xr:uid="{00000000-0006-0000-0100-00000E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version number of the FAIR eDNA (FAIRe) metadata checklist used to format the data
</t>
        </r>
        <r>
          <rPr>
            <b/>
            <sz val="11"/>
            <color rgb="FF000000"/>
            <rFont val="Calibri"/>
            <family val="2"/>
          </rPr>
          <t xml:space="preserve">Example : </t>
        </r>
        <r>
          <rPr>
            <sz val="11"/>
            <color rgb="FF000000"/>
            <rFont val="Calibri"/>
            <family val="2"/>
          </rPr>
          <t xml:space="preserve">1.2
</t>
        </r>
        <r>
          <rPr>
            <b/>
            <sz val="11"/>
            <color rgb="FF000000"/>
            <rFont val="Calibri"/>
            <family val="2"/>
          </rPr>
          <t xml:space="preserve">Field type : </t>
        </r>
        <r>
          <rPr>
            <sz val="11"/>
            <color rgb="FF000000"/>
            <rFont val="Calibri"/>
            <family val="2"/>
          </rPr>
          <t xml:space="preserve">numeric
</t>
        </r>
      </text>
    </comment>
    <comment ref="C16" authorId="0" shapeId="0" xr:uid="{00000000-0006-0000-01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last date on which the database information was modified, following the ISO 8601 format of yyyy-mm-dd. In case no exact time or date is available, the date/time can be right truncated i.e. all of these are valid times: 2008-01-23T19:23:10+00:00; 2008-01-23T19:23:10Z; 2008-01-23; 2008-01; 2008; Except: 2008-01; 2008 all are ISO8601 compliant.
</t>
        </r>
        <r>
          <rPr>
            <b/>
            <sz val="11"/>
            <color rgb="FF000000"/>
            <rFont val="Calibri"/>
            <family val="2"/>
          </rPr>
          <t xml:space="preserve">Example : </t>
        </r>
        <r>
          <rPr>
            <sz val="11"/>
            <color rgb="FF000000"/>
            <rFont val="Calibri"/>
            <family val="2"/>
          </rPr>
          <t xml:space="preserve">2014-09-09
</t>
        </r>
        <r>
          <rPr>
            <b/>
            <sz val="11"/>
            <color rgb="FF000000"/>
            <rFont val="Calibri"/>
            <family val="2"/>
          </rPr>
          <t xml:space="preserve">Field type : </t>
        </r>
        <r>
          <rPr>
            <sz val="11"/>
            <color rgb="FFFF0000"/>
            <rFont val="Calibri"/>
            <family val="2"/>
          </rPr>
          <t xml:space="preserve">fixed format (yyyy-mm-dd)
</t>
        </r>
      </text>
    </comment>
    <comment ref="C17" authorId="0" shapeId="0" xr:uid="{00000000-0006-0000-01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legal document giving official permission to do something with the resource.
</t>
        </r>
        <r>
          <rPr>
            <b/>
            <sz val="11"/>
            <color rgb="FF000000"/>
            <rFont val="Calibri"/>
            <family val="2"/>
          </rPr>
          <t xml:space="preserve">Example : </t>
        </r>
        <r>
          <rPr>
            <sz val="11"/>
            <color rgb="FF000000"/>
            <rFont val="Calibri"/>
            <family val="2"/>
          </rPr>
          <t xml:space="preserve">http://creativecommons.org/licenses/by/4.0/legalcode
</t>
        </r>
        <r>
          <rPr>
            <b/>
            <sz val="11"/>
            <color rgb="FF000000"/>
            <rFont val="Calibri"/>
            <family val="2"/>
          </rPr>
          <t xml:space="preserve">Field type : </t>
        </r>
        <r>
          <rPr>
            <sz val="11"/>
            <color rgb="FF000000"/>
            <rFont val="Calibri"/>
            <family val="2"/>
          </rPr>
          <t xml:space="preserve">free text
</t>
        </r>
      </text>
    </comment>
    <comment ref="C18" authorId="0" shapeId="0" xr:uid="{00000000-0006-0000-01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person or organization owning or managing rights over the resource.
</t>
        </r>
        <r>
          <rPr>
            <b/>
            <sz val="11"/>
            <color rgb="FF000000"/>
            <rFont val="Calibri"/>
            <family val="2"/>
          </rPr>
          <t xml:space="preserve">Example : </t>
        </r>
        <r>
          <rPr>
            <sz val="11"/>
            <color rgb="FF000000"/>
            <rFont val="Calibri"/>
            <family val="2"/>
          </rPr>
          <t xml:space="preserve">The Regents of the University of California
</t>
        </r>
        <r>
          <rPr>
            <b/>
            <sz val="11"/>
            <color rgb="FF000000"/>
            <rFont val="Calibri"/>
            <family val="2"/>
          </rPr>
          <t xml:space="preserve">Field type : </t>
        </r>
        <r>
          <rPr>
            <sz val="11"/>
            <color rgb="FF000000"/>
            <rFont val="Calibri"/>
            <family val="2"/>
          </rPr>
          <t xml:space="preserve">free text
</t>
        </r>
      </text>
    </comment>
    <comment ref="C19" authorId="0" shapeId="0" xr:uid="{00000000-0006-0000-01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Information about who can access the resource or an indication of its security status.
</t>
        </r>
        <r>
          <rPr>
            <b/>
            <sz val="11"/>
            <color rgb="FF000000"/>
            <rFont val="Calibri"/>
            <family val="2"/>
          </rPr>
          <t xml:space="preserve">Example : </t>
        </r>
        <r>
          <rPr>
            <sz val="11"/>
            <color rgb="FF000000"/>
            <rFont val="Calibri"/>
            <family val="2"/>
          </rPr>
          <t xml:space="preserve">not-for-profit use only 
</t>
        </r>
        <r>
          <rPr>
            <b/>
            <sz val="11"/>
            <color rgb="FF000000"/>
            <rFont val="Calibri"/>
            <family val="2"/>
          </rPr>
          <t xml:space="preserve">Field type : </t>
        </r>
        <r>
          <rPr>
            <sz val="11"/>
            <color rgb="FF000000"/>
            <rFont val="Calibri"/>
            <family val="2"/>
          </rPr>
          <t xml:space="preserve">free text
</t>
        </r>
      </text>
    </comment>
    <comment ref="C20" authorId="0" shapeId="0" xr:uid="{00000000-0006-0000-0100-00001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that exists, but that has not been shared in the given record.
</t>
        </r>
        <r>
          <rPr>
            <b/>
            <sz val="11"/>
            <color rgb="FF000000"/>
            <rFont val="Calibri"/>
            <family val="2"/>
          </rPr>
          <t xml:space="preserve">Example : </t>
        </r>
        <r>
          <rPr>
            <sz val="11"/>
            <color rgb="FF000000"/>
            <rFont val="Calibri"/>
            <family val="2"/>
          </rPr>
          <t xml:space="preserve">location information not given for endangered species
</t>
        </r>
        <r>
          <rPr>
            <b/>
            <sz val="11"/>
            <color rgb="FF000000"/>
            <rFont val="Calibri"/>
            <family val="2"/>
          </rPr>
          <t xml:space="preserve">Field type : </t>
        </r>
        <r>
          <rPr>
            <sz val="11"/>
            <color rgb="FF000000"/>
            <rFont val="Calibri"/>
            <family val="2"/>
          </rPr>
          <t xml:space="preserve">free text
</t>
        </r>
      </text>
    </comment>
    <comment ref="C21" authorId="0" shapeId="0" xr:uid="{00000000-0006-0000-01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Actions taken to make the shared data (i.e. location, date) less specific or complete than in its original form. Suggests that alternative data of higher quality may be available on request. Note this is not related to genetic generalisation within bioinformatic workflows (i.e., OTU clustering).
</t>
        </r>
        <r>
          <rPr>
            <b/>
            <sz val="11"/>
            <color rgb="FF000000"/>
            <rFont val="Calibri"/>
            <family val="2"/>
          </rPr>
          <t xml:space="preserve">Example : </t>
        </r>
        <r>
          <rPr>
            <sz val="11"/>
            <color rgb="FF000000"/>
            <rFont val="Calibri"/>
            <family val="2"/>
          </rPr>
          <t xml:space="preserve">Coordinates generalized from original GPS coordinates to the nearest half degree grid cell.
</t>
        </r>
        <r>
          <rPr>
            <b/>
            <sz val="11"/>
            <color rgb="FF000000"/>
            <rFont val="Calibri"/>
            <family val="2"/>
          </rPr>
          <t xml:space="preserve">Field type : </t>
        </r>
        <r>
          <rPr>
            <sz val="11"/>
            <color rgb="FF000000"/>
            <rFont val="Calibri"/>
            <family val="2"/>
          </rPr>
          <t xml:space="preserve">free text
</t>
        </r>
      </text>
    </comment>
    <comment ref="C22" authorId="0" shapeId="0" xr:uid="{00000000-0006-0000-0100-00001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bibliographic reference for the resource.
</t>
        </r>
        <r>
          <rPr>
            <b/>
            <sz val="11"/>
            <color rgb="FF000000"/>
            <rFont val="Calibri"/>
            <family val="2"/>
          </rPr>
          <t xml:space="preserve">Example : </t>
        </r>
        <r>
          <rPr>
            <sz val="11"/>
            <color rgb="FF000000"/>
            <rFont val="Calibri"/>
            <family val="2"/>
          </rPr>
          <t xml:space="preserve">DOI: 10.1111/mec.15382
</t>
        </r>
        <r>
          <rPr>
            <b/>
            <sz val="11"/>
            <color rgb="FF000000"/>
            <rFont val="Calibri"/>
            <family val="2"/>
          </rPr>
          <t xml:space="preserve">Field type : </t>
        </r>
        <r>
          <rPr>
            <sz val="11"/>
            <color rgb="FF000000"/>
            <rFont val="Calibri"/>
            <family val="2"/>
          </rPr>
          <t xml:space="preserve">DOI
</t>
        </r>
      </text>
    </comment>
    <comment ref="C23" authorId="0" shapeId="0" xr:uid="{00000000-0006-0000-0100-00001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related resource that is referenced, cited, or otherwise associated to the sequence. i.e., links to a project website, submitted raw sequence data and environmental metadata.
</t>
        </r>
        <r>
          <rPr>
            <b/>
            <sz val="11"/>
            <color rgb="FF000000"/>
            <rFont val="Calibri"/>
            <family val="2"/>
          </rPr>
          <t xml:space="preserve">Example : </t>
        </r>
        <r>
          <rPr>
            <sz val="11"/>
            <color rgb="FF000000"/>
            <rFont val="Calibri"/>
            <family val="2"/>
          </rPr>
          <t xml:space="preserve">http://www.earthmicrobiome.org/
</t>
        </r>
        <r>
          <rPr>
            <b/>
            <sz val="11"/>
            <color rgb="FF000000"/>
            <rFont val="Calibri"/>
            <family val="2"/>
          </rPr>
          <t xml:space="preserve">Field type : </t>
        </r>
        <r>
          <rPr>
            <sz val="11"/>
            <color rgb="FF000000"/>
            <rFont val="Calibri"/>
            <family val="2"/>
          </rPr>
          <t xml:space="preserve">free text
</t>
        </r>
      </text>
    </comment>
    <comment ref="C24" authorId="0" shapeId="0" xr:uid="{00000000-0006-0000-0100-00001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Link to public repository where analysis code is archived
</t>
        </r>
        <r>
          <rPr>
            <b/>
            <sz val="11"/>
            <color rgb="FF000000"/>
            <rFont val="Calibri"/>
            <family val="2"/>
          </rPr>
          <t xml:space="preserve">Example : </t>
        </r>
        <r>
          <rPr>
            <sz val="11"/>
            <color rgb="FF000000"/>
            <rFont val="Calibri"/>
            <family val="2"/>
          </rPr>
          <t xml:space="preserve">https://github.com/aomlomics/gomecc
</t>
        </r>
        <r>
          <rPr>
            <b/>
            <sz val="11"/>
            <color rgb="FF000000"/>
            <rFont val="Calibri"/>
            <family val="2"/>
          </rPr>
          <t xml:space="preserve">Field type : </t>
        </r>
        <r>
          <rPr>
            <sz val="11"/>
            <color rgb="FF000000"/>
            <rFont val="Calibri"/>
            <family val="2"/>
          </rPr>
          <t xml:space="preserve">free text
</t>
        </r>
      </text>
    </comment>
    <comment ref="C25" authorId="0" shapeId="0" xr:uid="{00000000-0006-0000-0100-00001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biological replicates collected at each sampling point and/or for each experimental treatment in the study.
</t>
        </r>
        <r>
          <rPr>
            <b/>
            <sz val="11"/>
            <color rgb="FF000000"/>
            <rFont val="Calibri"/>
            <family val="2"/>
          </rPr>
          <t xml:space="preserve">Example : </t>
        </r>
        <r>
          <rPr>
            <sz val="11"/>
            <color rgb="FF000000"/>
            <rFont val="Calibri"/>
            <family val="2"/>
          </rPr>
          <t xml:space="preserve">5
</t>
        </r>
        <r>
          <rPr>
            <b/>
            <sz val="11"/>
            <color rgb="FF000000"/>
            <rFont val="Calibri"/>
            <family val="2"/>
          </rPr>
          <t xml:space="preserve">Field type : </t>
        </r>
        <r>
          <rPr>
            <sz val="11"/>
            <color rgb="FF000000"/>
            <rFont val="Calibri"/>
            <family val="2"/>
          </rPr>
          <t xml:space="preserve">integer
</t>
        </r>
      </text>
    </comment>
    <comment ref="C26" authorId="0" shapeId="0" xr:uid="{00000000-0006-0000-0100-000019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Was PCR performed in the study? Yes = 1, No (pcr-free approaches including shotgun metagenomics, Nanopore)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27" authorId="0" shapeId="0" xr:uid="{00000000-0006-0000-0100-00001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Was the inhibition checked? Yes = 1, No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28" authorId="0" shapeId="0" xr:uid="{00000000-0006-0000-0100-00001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method applied to detect inhibition and any adjustments made to improve PCR performance, such as sample dilution or the use of inhibitor-tolerant reagents.
</t>
        </r>
        <r>
          <rPr>
            <b/>
            <sz val="11"/>
            <color rgb="FF000000"/>
            <rFont val="Calibri"/>
            <family val="2"/>
          </rPr>
          <t xml:space="preserve">Example : </t>
        </r>
        <r>
          <rPr>
            <sz val="11"/>
            <color rgb="FF000000"/>
            <rFont val="Calibri"/>
            <family val="2"/>
          </rPr>
          <t xml:space="preserve">The extracted DNA was tested using a serial dilution approach (undiluted, 1:10, 1:100). qPCR was performed on each dilution to evaluate amplification efficiency and inhibition. The dillution with optimal performance with reduced inhibition was selected for subsequent analysis in the workflow.
</t>
        </r>
        <r>
          <rPr>
            <b/>
            <sz val="11"/>
            <color rgb="FF000000"/>
            <rFont val="Calibri"/>
            <family val="2"/>
          </rPr>
          <t xml:space="preserve">Field type : </t>
        </r>
        <r>
          <rPr>
            <sz val="11"/>
            <color rgb="FF000000"/>
            <rFont val="Calibri"/>
            <family val="2"/>
          </rPr>
          <t xml:space="preserve">free text
</t>
        </r>
      </text>
    </comment>
    <comment ref="C29" authorId="0" shapeId="0" xr:uid="{00000000-0006-0000-0100-00001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manufacturer and model of a thermocycler used
</t>
        </r>
        <r>
          <rPr>
            <b/>
            <sz val="11"/>
            <color rgb="FF000000"/>
            <rFont val="Calibri"/>
            <family val="2"/>
          </rPr>
          <t xml:space="preserve">Example : </t>
        </r>
        <r>
          <rPr>
            <sz val="11"/>
            <color rgb="FF000000"/>
            <rFont val="Calibri"/>
            <family val="2"/>
          </rPr>
          <t xml:space="preserve">Thermo Fisher Scientific, QuantStudio 6
</t>
        </r>
        <r>
          <rPr>
            <b/>
            <sz val="11"/>
            <color rgb="FF000000"/>
            <rFont val="Calibri"/>
            <family val="2"/>
          </rPr>
          <t xml:space="preserve">Field type : </t>
        </r>
        <r>
          <rPr>
            <sz val="11"/>
            <color rgb="FF000000"/>
            <rFont val="Calibri"/>
            <family val="2"/>
          </rPr>
          <t xml:space="preserve">free text
</t>
        </r>
      </text>
    </comment>
    <comment ref="C30" authorId="0" shapeId="0" xr:uid="{00000000-0006-0000-0100-00001D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C31" authorId="0" shapeId="0" xr:uid="{00000000-0006-0000-0100-00001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How was the assay validated for specificity? e.g., in-silico, in-vitro, in-situ validations, sanger sequencing, repeat analysis with alternate assay, intra/inter species tests
</t>
        </r>
        <r>
          <rPr>
            <b/>
            <sz val="11"/>
            <color rgb="FF000000"/>
            <rFont val="Calibri"/>
            <family val="2"/>
          </rPr>
          <t xml:space="preserve">Example : </t>
        </r>
        <r>
          <rPr>
            <sz val="11"/>
            <color rgb="FF000000"/>
            <rFont val="Calibri"/>
            <family val="2"/>
          </rPr>
          <t xml:space="preserve">The assay was validated through a multi-step process, including in-silico analysis, in-vitro testing, in-situ trials, and final confirmation with Sanger sequencing.
</t>
        </r>
        <r>
          <rPr>
            <b/>
            <sz val="11"/>
            <color rgb="FF000000"/>
            <rFont val="Calibri"/>
            <family val="2"/>
          </rPr>
          <t xml:space="preserve">Field type : </t>
        </r>
        <r>
          <rPr>
            <sz val="11"/>
            <color rgb="FF000000"/>
            <rFont val="Calibri"/>
            <family val="2"/>
          </rPr>
          <t xml:space="preserve">free text
</t>
        </r>
      </text>
    </comment>
    <comment ref="C32" authorId="0" shapeId="0" xr:uid="{00000000-0006-0000-0100-00001F000000}">
      <text>
        <r>
          <rPr>
            <b/>
            <sz val="11"/>
            <color rgb="FF000000"/>
            <rFont val="Calibri"/>
            <family val="2"/>
          </rPr>
          <t xml:space="preserve">Requirement level : </t>
        </r>
        <r>
          <rPr>
            <b/>
            <sz val="11"/>
            <color rgb="FFFF0000"/>
            <rFont val="Calibri"/>
            <family val="2"/>
          </rPr>
          <t xml:space="preserve">Mandatory (If pcr_0_1 is 1. Else, recommended)
</t>
        </r>
        <r>
          <rPr>
            <b/>
            <sz val="11"/>
            <color rgb="FF000000"/>
            <rFont val="Calibri"/>
            <family val="2"/>
          </rPr>
          <t xml:space="preserve">Description : </t>
        </r>
        <r>
          <rPr>
            <sz val="11"/>
            <color rgb="FF000000"/>
            <rFont val="Calibri"/>
            <family val="2"/>
          </rPr>
          <t xml:space="preserve">Taxa or species name targeted by the primers, probes, and/or other approaches applied in the PCR.
</t>
        </r>
        <r>
          <rPr>
            <b/>
            <sz val="11"/>
            <color rgb="FF000000"/>
            <rFont val="Calibri"/>
            <family val="2"/>
          </rPr>
          <t xml:space="preserve">Example : </t>
        </r>
        <r>
          <rPr>
            <sz val="11"/>
            <color rgb="FF000000"/>
            <rFont val="Calibri"/>
            <family val="2"/>
          </rPr>
          <t xml:space="preserve">verteberate
</t>
        </r>
        <r>
          <rPr>
            <b/>
            <sz val="11"/>
            <color rgb="FF000000"/>
            <rFont val="Calibri"/>
            <family val="2"/>
          </rPr>
          <t xml:space="preserve">Field type : </t>
        </r>
        <r>
          <rPr>
            <sz val="11"/>
            <color rgb="FF000000"/>
            <rFont val="Calibri"/>
            <family val="2"/>
          </rPr>
          <t xml:space="preserve">free text
</t>
        </r>
      </text>
    </comment>
    <comment ref="C33" authorId="0" shapeId="0" xr:uid="{00000000-0006-0000-0100-00002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taxonomic group(s) targeted in the study. This can differ from the targetTaxonomicAssay. For example, the targetTaxonomicAssay may be Chordata while the targetTaxonomicScope is Chondrichthyes (bony fish, sharks and rays).
</t>
        </r>
        <r>
          <rPr>
            <b/>
            <sz val="11"/>
            <color rgb="FF000000"/>
            <rFont val="Calibri"/>
            <family val="2"/>
          </rPr>
          <t xml:space="preserve">Example : </t>
        </r>
        <r>
          <rPr>
            <sz val="11"/>
            <color rgb="FF000000"/>
            <rFont val="Calibri"/>
            <family val="2"/>
          </rPr>
          <t xml:space="preserve">teleost
</t>
        </r>
        <r>
          <rPr>
            <b/>
            <sz val="11"/>
            <color rgb="FF000000"/>
            <rFont val="Calibri"/>
            <family val="2"/>
          </rPr>
          <t xml:space="preserve">Field type : </t>
        </r>
        <r>
          <rPr>
            <sz val="11"/>
            <color rgb="FF000000"/>
            <rFont val="Calibri"/>
            <family val="2"/>
          </rPr>
          <t xml:space="preserve">free text
</t>
        </r>
      </text>
    </comment>
    <comment ref="C34" authorId="0" shapeId="0" xr:uid="{00000000-0006-0000-0100-00002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Targeted gene or locus name for marker gene studies
</t>
        </r>
        <r>
          <rPr>
            <b/>
            <sz val="11"/>
            <color rgb="FF000000"/>
            <rFont val="Calibri"/>
            <family val="2"/>
          </rPr>
          <t xml:space="preserve">Example : </t>
        </r>
        <r>
          <rPr>
            <sz val="11"/>
            <color rgb="FF000000"/>
            <rFont val="Calibri"/>
            <family val="2"/>
          </rPr>
          <t xml:space="preserve">COI
</t>
        </r>
        <r>
          <rPr>
            <b/>
            <sz val="11"/>
            <color rgb="FF000000"/>
            <rFont val="Calibri"/>
            <family val="2"/>
          </rPr>
          <t xml:space="preserve">Field type : </t>
        </r>
        <r>
          <rPr>
            <sz val="11"/>
            <color rgb="FFFF0000"/>
            <rFont val="Calibri"/>
            <family val="2"/>
          </rPr>
          <t xml:space="preserve">controlled vocabulary (12S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
</t>
        </r>
      </text>
    </comment>
    <comment ref="C35" authorId="0" shapeId="0" xr:uid="{00000000-0006-0000-0100-00002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Name of subfragment of a gene or locus. Important to e.g. identify special regions on marker genes like V6 on 16S rRNA.
</t>
        </r>
        <r>
          <rPr>
            <b/>
            <sz val="11"/>
            <color rgb="FF000000"/>
            <rFont val="Calibri"/>
            <family val="2"/>
          </rPr>
          <t xml:space="preserve">Example : </t>
        </r>
        <r>
          <rPr>
            <sz val="11"/>
            <color rgb="FF000000"/>
            <rFont val="Calibri"/>
            <family val="2"/>
          </rPr>
          <t xml:space="preserve">V6
</t>
        </r>
        <r>
          <rPr>
            <b/>
            <sz val="11"/>
            <color rgb="FF000000"/>
            <rFont val="Calibri"/>
            <family val="2"/>
          </rPr>
          <t xml:space="preserve">Field type : </t>
        </r>
        <r>
          <rPr>
            <sz val="11"/>
            <color rgb="FF000000"/>
            <rFont val="Calibri"/>
            <family val="2"/>
          </rPr>
          <t xml:space="preserve">free text
</t>
        </r>
      </text>
    </comment>
    <comment ref="C36" authorId="0" shapeId="0" xr:uid="{00000000-0006-0000-0100-00002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length of the amplicon in basepairs EXCLUDING the primers, adapters and MIDs. A range can be entered separated by a hyphen"-" (i.e. 140-160). If using Excel, format the cell as text to prevent it from being auto-formatted as a date. Unit = basepairs
</t>
        </r>
        <r>
          <rPr>
            <b/>
            <sz val="11"/>
            <color rgb="FF000000"/>
            <rFont val="Calibri"/>
            <family val="2"/>
          </rPr>
          <t xml:space="preserve">Example : </t>
        </r>
        <r>
          <rPr>
            <sz val="11"/>
            <color rgb="FF000000"/>
            <rFont val="Calibri"/>
            <family val="2"/>
          </rPr>
          <t xml:space="preserve">83
</t>
        </r>
        <r>
          <rPr>
            <b/>
            <sz val="11"/>
            <color rgb="FF000000"/>
            <rFont val="Calibri"/>
            <family val="2"/>
          </rPr>
          <t xml:space="preserve">Field type : </t>
        </r>
        <r>
          <rPr>
            <sz val="11"/>
            <color rgb="FF000000"/>
            <rFont val="Calibri"/>
            <family val="2"/>
          </rPr>
          <t xml:space="preserve">integer
</t>
        </r>
      </text>
    </comment>
    <comment ref="C37" authorId="0" shapeId="0" xr:uid="{00000000-0006-0000-0100-000024000000}">
      <text>
        <r>
          <rPr>
            <b/>
            <sz val="11"/>
            <color rgb="FF000000"/>
            <rFont val="Calibri"/>
            <family val="2"/>
          </rPr>
          <t xml:space="preserve">Requirement level : </t>
        </r>
        <r>
          <rPr>
            <b/>
            <sz val="11"/>
            <color rgb="FFFF0000"/>
            <rFont val="Calibri"/>
            <family val="2"/>
          </rPr>
          <t xml:space="preserve">Mandatory (If pcr_0_1 is 1)
</t>
        </r>
        <r>
          <rPr>
            <b/>
            <sz val="11"/>
            <color rgb="FF000000"/>
            <rFont val="Calibri"/>
            <family val="2"/>
          </rPr>
          <t xml:space="preserve">Description : </t>
        </r>
        <r>
          <rPr>
            <sz val="11"/>
            <color rgb="FF000000"/>
            <rFont val="Calibri"/>
            <family val="2"/>
          </rPr>
          <t xml:space="preserve">Forward PCR primer (5' - 3') that were used to amplify the sequence of the targeted gene. The primer sequence should NOT contain MIDs and adapter sequences, and should be reported in uppercase letters. If multiple forward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family val="2"/>
          </rPr>
          <t xml:space="preserve">Example : </t>
        </r>
        <r>
          <rPr>
            <sz val="11"/>
            <color rgb="FF000000"/>
            <rFont val="Calibri"/>
            <family val="2"/>
          </rPr>
          <t xml:space="preserve">GGWACWGGWTGAACWGTWTAYCCYCC
</t>
        </r>
        <r>
          <rPr>
            <b/>
            <sz val="11"/>
            <color rgb="FF000000"/>
            <rFont val="Calibri"/>
            <family val="2"/>
          </rPr>
          <t xml:space="preserve">Field type : </t>
        </r>
        <r>
          <rPr>
            <sz val="11"/>
            <color rgb="FF000000"/>
            <rFont val="Calibri"/>
            <family val="2"/>
          </rPr>
          <t xml:space="preserve">free text
</t>
        </r>
      </text>
    </comment>
    <comment ref="C38" authorId="0" shapeId="0" xr:uid="{00000000-0006-0000-0100-000025000000}">
      <text>
        <r>
          <rPr>
            <b/>
            <sz val="11"/>
            <color rgb="FF000000"/>
            <rFont val="Calibri"/>
            <family val="2"/>
          </rPr>
          <t xml:space="preserve">Requirement level : </t>
        </r>
        <r>
          <rPr>
            <b/>
            <sz val="11"/>
            <color rgb="FFFF0000"/>
            <rFont val="Calibri"/>
            <family val="2"/>
          </rPr>
          <t xml:space="preserve">Mandatory (If pcr_0_1 is 1)
</t>
        </r>
        <r>
          <rPr>
            <b/>
            <sz val="11"/>
            <color rgb="FF000000"/>
            <rFont val="Calibri"/>
            <family val="2"/>
          </rPr>
          <t xml:space="preserve">Description : </t>
        </r>
        <r>
          <rPr>
            <sz val="11"/>
            <color rgb="FF000000"/>
            <rFont val="Calibri"/>
            <family val="2"/>
          </rPr>
          <t xml:space="preserve">Reverse PCR primer (5' - 3') that were used to amplify the sequence of the targeted gene. The primer sequence should NOT contain MIDs and adapter sequences, and should be reported in uppercase letters. If multiple reverse primers are present in a single PCR reaction, either report them separately in separate submissions (with separate OTU tables for each primer set), or list the primers here separated by pipe ( | ) and provide one OTU table resulting from all the primers applied here. The latter is recommended only when the multiple primers target the same gene region and thus a single OTU table was generated from the multiplexed PCR. This term is required except for PCR free methods.
</t>
        </r>
        <r>
          <rPr>
            <b/>
            <sz val="11"/>
            <color rgb="FF000000"/>
            <rFont val="Calibri"/>
            <family val="2"/>
          </rPr>
          <t xml:space="preserve">Example : </t>
        </r>
        <r>
          <rPr>
            <sz val="11"/>
            <color rgb="FF000000"/>
            <rFont val="Calibri"/>
            <family val="2"/>
          </rPr>
          <t xml:space="preserve">GGRGGRTASACSGTTCASCCSGTSCC
</t>
        </r>
        <r>
          <rPr>
            <b/>
            <sz val="11"/>
            <color rgb="FF000000"/>
            <rFont val="Calibri"/>
            <family val="2"/>
          </rPr>
          <t xml:space="preserve">Field type : </t>
        </r>
        <r>
          <rPr>
            <sz val="11"/>
            <color rgb="FF000000"/>
            <rFont val="Calibri"/>
            <family val="2"/>
          </rPr>
          <t xml:space="preserve">free text
</t>
        </r>
      </text>
    </comment>
    <comment ref="C39" authorId="0" shapeId="0" xr:uid="{00000000-0006-0000-0100-00002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pcr_primer_forward. If multiple primers are listed in pcr_primer_forward, list the names respectively, separated by pipe ( | ).
</t>
        </r>
        <r>
          <rPr>
            <b/>
            <sz val="11"/>
            <color rgb="FF000000"/>
            <rFont val="Calibri"/>
            <family val="2"/>
          </rPr>
          <t xml:space="preserve">Example : </t>
        </r>
        <r>
          <rPr>
            <sz val="11"/>
            <color rgb="FF000000"/>
            <rFont val="Calibri"/>
            <family val="2"/>
          </rPr>
          <t xml:space="preserve">mlCOIintF
</t>
        </r>
        <r>
          <rPr>
            <b/>
            <sz val="11"/>
            <color rgb="FF000000"/>
            <rFont val="Calibri"/>
            <family val="2"/>
          </rPr>
          <t xml:space="preserve">Field type : </t>
        </r>
        <r>
          <rPr>
            <sz val="11"/>
            <color rgb="FF000000"/>
            <rFont val="Calibri"/>
            <family val="2"/>
          </rPr>
          <t xml:space="preserve">free text
</t>
        </r>
      </text>
    </comment>
    <comment ref="C40" authorId="0" shapeId="0" xr:uid="{00000000-0006-0000-0100-00002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Name of the pcr_primer_reverse. If multiple primers are listed in pcr_primer_reverse, list the names respectively, separated by pipe ( | ).
</t>
        </r>
        <r>
          <rPr>
            <b/>
            <sz val="11"/>
            <color rgb="FF000000"/>
            <rFont val="Calibri"/>
            <family val="2"/>
          </rPr>
          <t xml:space="preserve">Example : </t>
        </r>
        <r>
          <rPr>
            <sz val="11"/>
            <color rgb="FF000000"/>
            <rFont val="Calibri"/>
            <family val="2"/>
          </rPr>
          <t xml:space="preserve">mlCOIintR
</t>
        </r>
        <r>
          <rPr>
            <b/>
            <sz val="11"/>
            <color rgb="FF000000"/>
            <rFont val="Calibri"/>
            <family val="2"/>
          </rPr>
          <t xml:space="preserve">Field type : </t>
        </r>
        <r>
          <rPr>
            <sz val="11"/>
            <color rgb="FF000000"/>
            <rFont val="Calibri"/>
            <family val="2"/>
          </rPr>
          <t xml:space="preserve">free text
</t>
        </r>
      </text>
    </comment>
    <comment ref="C41" authorId="0" shapeId="0" xr:uid="{00000000-0006-0000-0100-00002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pcr_primer_forward. If multiple primers are listed in pcr_primer_forward, list the references respectively, separated by pipe ( | ).
</t>
        </r>
        <r>
          <rPr>
            <b/>
            <sz val="11"/>
            <color rgb="FF000000"/>
            <rFont val="Calibri"/>
            <family val="2"/>
          </rPr>
          <t xml:space="preserve">Example : </t>
        </r>
        <r>
          <rPr>
            <sz val="11"/>
            <color rgb="FF000000"/>
            <rFont val="Calibri"/>
            <family val="2"/>
          </rPr>
          <t xml:space="preserve">https://doi.org/10.1186/1742-9994-10-34
</t>
        </r>
        <r>
          <rPr>
            <b/>
            <sz val="11"/>
            <color rgb="FF000000"/>
            <rFont val="Calibri"/>
            <family val="2"/>
          </rPr>
          <t xml:space="preserve">Field type : </t>
        </r>
        <r>
          <rPr>
            <sz val="11"/>
            <color rgb="FF000000"/>
            <rFont val="Calibri"/>
            <family val="2"/>
          </rPr>
          <t xml:space="preserve">free text
</t>
        </r>
      </text>
    </comment>
    <comment ref="C42" authorId="0" shapeId="0" xr:uid="{00000000-0006-0000-0100-00002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pcr_primer_reverse. If multiple primers are listed in pcr_primer_reverse, list the references respectively, separated by pipe ( | ).
</t>
        </r>
        <r>
          <rPr>
            <b/>
            <sz val="11"/>
            <color rgb="FF000000"/>
            <rFont val="Calibri"/>
            <family val="2"/>
          </rPr>
          <t xml:space="preserve">Example : </t>
        </r>
        <r>
          <rPr>
            <sz val="11"/>
            <color rgb="FF000000"/>
            <rFont val="Calibri"/>
            <family val="2"/>
          </rPr>
          <t xml:space="preserve">https://doi.org/10.1186/1742-9994-10-34
</t>
        </r>
        <r>
          <rPr>
            <b/>
            <sz val="11"/>
            <color rgb="FF000000"/>
            <rFont val="Calibri"/>
            <family val="2"/>
          </rPr>
          <t xml:space="preserve">Field type : </t>
        </r>
        <r>
          <rPr>
            <sz val="11"/>
            <color rgb="FF000000"/>
            <rFont val="Calibri"/>
            <family val="2"/>
          </rPr>
          <t xml:space="preserve">free text
</t>
        </r>
      </text>
    </comment>
    <comment ref="C43" authorId="0" shapeId="0" xr:uid="{00000000-0006-0000-0100-00002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Volume of pcr_primer_forward per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44" authorId="0" shapeId="0" xr:uid="{00000000-0006-0000-0100-00002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Volume of pcr_primer_reverse per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45" authorId="0" shapeId="0" xr:uid="{00000000-0006-0000-0100-00002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stock concentration of the forward PCR primer (pcr_primer_forward).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46" authorId="0" shapeId="0" xr:uid="{00000000-0006-0000-0100-00002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stock concentration of the reverse PCR primer (pcr_primer_reverse). This refers specifically to the concentration of the primer stock solution, not the final concentration in the PCR reaction. For example, using 1 µL of a 5 µM (stock concentration) primer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text>
    </comment>
    <comment ref="C47" authorId="0" shapeId="0" xr:uid="{00000000-0006-0000-0100-00002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Type of fluorophore (reporter) used. Probe anneals within amplified target DNA. Polymerase activity degrades the probe that has annealed to the template, and the probe releases the fluorophore from it and breaks the proximity to the quencher, thus allowing fluorescence of the fluorophore.
</t>
        </r>
        <r>
          <rPr>
            <b/>
            <sz val="11"/>
            <color rgb="FF000000"/>
            <rFont val="Calibri"/>
            <family val="2"/>
          </rPr>
          <t xml:space="preserve">Example : </t>
        </r>
        <r>
          <rPr>
            <sz val="11"/>
            <color rgb="FF000000"/>
            <rFont val="Calibri"/>
            <family val="2"/>
          </rPr>
          <t xml:space="preserve">FAM
</t>
        </r>
        <r>
          <rPr>
            <b/>
            <sz val="11"/>
            <color rgb="FF000000"/>
            <rFont val="Calibri"/>
            <family val="2"/>
          </rPr>
          <t xml:space="preserve">Field type : </t>
        </r>
        <r>
          <rPr>
            <sz val="11"/>
            <color rgb="FF000000"/>
            <rFont val="Calibri"/>
            <family val="2"/>
          </rPr>
          <t xml:space="preserve">free text
</t>
        </r>
      </text>
    </comment>
    <comment ref="C48" authorId="0" shapeId="0" xr:uid="{00000000-0006-0000-0100-00002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Type of quencher used. The quencher molecule quenches the fluorescence emitted by the fluorophore when excited by the cycler’s light source As long as fluorophore and the quencher are in proximity, quenching inhibits any fluorescence signals.
</t>
        </r>
        <r>
          <rPr>
            <b/>
            <sz val="11"/>
            <color rgb="FF000000"/>
            <rFont val="Calibri"/>
            <family val="2"/>
          </rPr>
          <t xml:space="preserve">Example : </t>
        </r>
        <r>
          <rPr>
            <sz val="11"/>
            <color rgb="FF000000"/>
            <rFont val="Calibri"/>
            <family val="2"/>
          </rPr>
          <t xml:space="preserve">MGB
</t>
        </r>
        <r>
          <rPr>
            <b/>
            <sz val="11"/>
            <color rgb="FF000000"/>
            <rFont val="Calibri"/>
            <family val="2"/>
          </rPr>
          <t xml:space="preserve">Field type : </t>
        </r>
        <r>
          <rPr>
            <sz val="11"/>
            <color rgb="FFFF0000"/>
            <rFont val="Calibri"/>
            <family val="2"/>
          </rPr>
          <t xml:space="preserve">controlled vocabulary (Zero-End Quencher (ZEN) | TAMRA | lowa Black | Minor Groove Binder (MGB) | Black Hole Quencher (BHQ) | other:)
</t>
        </r>
      </text>
    </comment>
    <comment ref="C49" authorId="0" shapeId="0" xr:uid="{00000000-0006-0000-0100-00003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If applicable, probe sequence in the 5' to 3' direction
</t>
        </r>
        <r>
          <rPr>
            <b/>
            <sz val="11"/>
            <color rgb="FF000000"/>
            <rFont val="Calibri"/>
            <family val="2"/>
          </rPr>
          <t xml:space="preserve">Example : </t>
        </r>
        <r>
          <rPr>
            <sz val="11"/>
            <color rgb="FF000000"/>
            <rFont val="Calibri"/>
            <family val="2"/>
          </rPr>
          <t xml:space="preserve">CTTGTTTGTTTGATCAATTC
</t>
        </r>
        <r>
          <rPr>
            <b/>
            <sz val="11"/>
            <color rgb="FF000000"/>
            <rFont val="Calibri"/>
            <family val="2"/>
          </rPr>
          <t xml:space="preserve">Field type : </t>
        </r>
        <r>
          <rPr>
            <sz val="11"/>
            <color rgb="FF000000"/>
            <rFont val="Calibri"/>
            <family val="2"/>
          </rPr>
          <t xml:space="preserve">free text
</t>
        </r>
      </text>
    </comment>
    <comment ref="C50" authorId="0" shapeId="0" xr:uid="{00000000-0006-0000-0100-00003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Reference (i.e. DOI) of the probe_seq
</t>
        </r>
        <r>
          <rPr>
            <b/>
            <sz val="11"/>
            <color rgb="FF000000"/>
            <rFont val="Calibri"/>
            <family val="2"/>
          </rPr>
          <t xml:space="preserve">Example : </t>
        </r>
        <r>
          <rPr>
            <sz val="11"/>
            <color rgb="FF000000"/>
            <rFont val="Calibri"/>
            <family val="2"/>
          </rPr>
          <t xml:space="preserve">10.1007/s00227-017-3141-x
</t>
        </r>
        <r>
          <rPr>
            <b/>
            <sz val="11"/>
            <color rgb="FF000000"/>
            <rFont val="Calibri"/>
            <family val="2"/>
          </rPr>
          <t xml:space="preserve">Field type : </t>
        </r>
        <r>
          <rPr>
            <sz val="11"/>
            <color rgb="FF000000"/>
            <rFont val="Calibri"/>
            <family val="2"/>
          </rPr>
          <t xml:space="preserve">free text
</t>
        </r>
      </text>
    </comment>
    <comment ref="C51" authorId="0" shapeId="0" xr:uid="{00000000-0006-0000-0100-000032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stock concentration of the probe if applicable. This refers specifically to the concentration of the probe stock solution, not the final concentration in the PCR reaction. For example, using 1 µL of a 5 µM (stock concentration) probe in a 25 µL reaction results in a final concentration of 0.2 µM. Hence the entry for this term would be 5. Unit = µM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C52" authorId="0" shapeId="0" xr:uid="{00000000-0006-0000-0100-00003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Name, brand, and manufacture of commercial, pre-made master mix (if commercial master mix was used)
</t>
        </r>
        <r>
          <rPr>
            <b/>
            <sz val="11"/>
            <color rgb="FF000000"/>
            <rFont val="Calibri"/>
            <family val="2"/>
          </rPr>
          <t xml:space="preserve">Example : </t>
        </r>
        <r>
          <rPr>
            <sz val="11"/>
            <color rgb="FF000000"/>
            <rFont val="Calibri"/>
            <family val="2"/>
          </rPr>
          <t xml:space="preserve">Luna® Universal qPCR Master Mix, New England Biolabs
</t>
        </r>
        <r>
          <rPr>
            <b/>
            <sz val="11"/>
            <color rgb="FF000000"/>
            <rFont val="Calibri"/>
            <family val="2"/>
          </rPr>
          <t xml:space="preserve">Field type : </t>
        </r>
        <r>
          <rPr>
            <sz val="11"/>
            <color rgb="FF000000"/>
            <rFont val="Calibri"/>
            <family val="2"/>
          </rPr>
          <t xml:space="preserve">free text
</t>
        </r>
      </text>
    </comment>
    <comment ref="C53" authorId="0" shapeId="0" xr:uid="{00000000-0006-0000-0100-000034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composition of custom master mix, including the names, volumes and concentrations of additives (i.e., salts, buffers, enzyme and other components) (if custom master mix was used)
</t>
        </r>
        <r>
          <rPr>
            <b/>
            <sz val="11"/>
            <color rgb="FF000000"/>
            <rFont val="Calibri"/>
            <family val="2"/>
          </rPr>
          <t xml:space="preserve">Example : </t>
        </r>
        <r>
          <rPr>
            <sz val="11"/>
            <color rgb="FF000000"/>
            <rFont val="Calibri"/>
            <family val="2"/>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family val="2"/>
          </rPr>
          <t xml:space="preserve">Field type : </t>
        </r>
        <r>
          <rPr>
            <sz val="11"/>
            <color rgb="FF000000"/>
            <rFont val="Calibri"/>
            <family val="2"/>
          </rPr>
          <t xml:space="preserve">free text
</t>
        </r>
      </text>
    </comment>
    <comment ref="C54" authorId="0" shapeId="0" xr:uid="{00000000-0006-0000-0100-00003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Blocking primer sequence in the 5' to 3' direction
</t>
        </r>
        <r>
          <rPr>
            <b/>
            <sz val="11"/>
            <color rgb="FF000000"/>
            <rFont val="Calibri"/>
            <family val="2"/>
          </rPr>
          <t xml:space="preserve">Example : </t>
        </r>
        <r>
          <rPr>
            <sz val="11"/>
            <color rgb="FF000000"/>
            <rFont val="Calibri"/>
            <family val="2"/>
          </rPr>
          <t xml:space="preserve">AGCTTTAGACACCAAGGCAGACCAT/C3/
</t>
        </r>
        <r>
          <rPr>
            <b/>
            <sz val="11"/>
            <color rgb="FF000000"/>
            <rFont val="Calibri"/>
            <family val="2"/>
          </rPr>
          <t xml:space="preserve">Field type : </t>
        </r>
        <r>
          <rPr>
            <sz val="11"/>
            <color rgb="FF000000"/>
            <rFont val="Calibri"/>
            <family val="2"/>
          </rPr>
          <t xml:space="preserve">free text
</t>
        </r>
      </text>
    </comment>
    <comment ref="C55" authorId="0" shapeId="0" xr:uid="{00000000-0006-0000-0100-00003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of a blocking primer. Enter "custom" if it was developed during the current project
</t>
        </r>
        <r>
          <rPr>
            <b/>
            <sz val="11"/>
            <color rgb="FF000000"/>
            <rFont val="Calibri"/>
            <family val="2"/>
          </rPr>
          <t xml:space="preserve">Example : </t>
        </r>
        <r>
          <rPr>
            <sz val="11"/>
            <color rgb="FF000000"/>
            <rFont val="Calibri"/>
            <family val="2"/>
          </rPr>
          <t xml:space="preserve">https://doi.org/10.1038/s41598-020-60779-9
</t>
        </r>
        <r>
          <rPr>
            <b/>
            <sz val="11"/>
            <color rgb="FF000000"/>
            <rFont val="Calibri"/>
            <family val="2"/>
          </rPr>
          <t xml:space="preserve">Field type : </t>
        </r>
        <r>
          <rPr>
            <sz val="11"/>
            <color rgb="FF000000"/>
            <rFont val="Calibri"/>
            <family val="2"/>
          </rPr>
          <t xml:space="preserve">free text
</t>
        </r>
      </text>
    </comment>
    <comment ref="C56" authorId="0" shapeId="0" xr:uid="{00000000-0006-0000-0100-00003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Taxonomic name(s) of the organism(s) targeted by a blocking primer to prevent their DNA amplification during PCR, enabling the preferential amplification of other taxa.
</t>
        </r>
        <r>
          <rPr>
            <b/>
            <sz val="11"/>
            <color rgb="FF000000"/>
            <rFont val="Calibri"/>
            <family val="2"/>
          </rPr>
          <t xml:space="preserve">Example : </t>
        </r>
        <r>
          <rPr>
            <sz val="11"/>
            <color rgb="FF000000"/>
            <rFont val="Calibri"/>
            <family val="2"/>
          </rPr>
          <t xml:space="preserve">Lutjanus malabaricus
</t>
        </r>
        <r>
          <rPr>
            <b/>
            <sz val="11"/>
            <color rgb="FF000000"/>
            <rFont val="Calibri"/>
            <family val="2"/>
          </rPr>
          <t xml:space="preserve">Field type : </t>
        </r>
        <r>
          <rPr>
            <sz val="11"/>
            <color rgb="FF000000"/>
            <rFont val="Calibri"/>
            <family val="2"/>
          </rPr>
          <t xml:space="preserve">free text
</t>
        </r>
      </text>
    </comment>
    <comment ref="C57" authorId="0" shapeId="0" xr:uid="{00000000-0006-0000-0100-00003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total PCR reaction volume. Unit = µL
</t>
        </r>
        <r>
          <rPr>
            <b/>
            <sz val="11"/>
            <color rgb="FF000000"/>
            <rFont val="Calibri"/>
            <family val="2"/>
          </rPr>
          <t xml:space="preserve">Example : </t>
        </r>
        <r>
          <rPr>
            <sz val="11"/>
            <color rgb="FF000000"/>
            <rFont val="Calibri"/>
            <family val="2"/>
          </rPr>
          <t xml:space="preserve">22.0
</t>
        </r>
        <r>
          <rPr>
            <b/>
            <sz val="11"/>
            <color rgb="FF000000"/>
            <rFont val="Calibri"/>
            <family val="2"/>
          </rPr>
          <t xml:space="preserve">Field type : </t>
        </r>
        <r>
          <rPr>
            <sz val="11"/>
            <color rgb="FF000000"/>
            <rFont val="Calibri"/>
            <family val="2"/>
          </rPr>
          <t xml:space="preserve">numeric
</t>
        </r>
      </text>
    </comment>
    <comment ref="C58" authorId="0" shapeId="0" xr:uid="{00000000-0006-0000-0100-00003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of DNA added in each PCR reaction.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59" authorId="0" shapeId="0" xr:uid="{00000000-0006-0000-0100-00003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number of PCR technical replicates. For metabarcoding, each replicate should employ an identical MID.
</t>
        </r>
        <r>
          <rPr>
            <b/>
            <sz val="11"/>
            <color rgb="FF000000"/>
            <rFont val="Calibri"/>
            <family val="2"/>
          </rPr>
          <t xml:space="preserve">Example : </t>
        </r>
        <r>
          <rPr>
            <sz val="11"/>
            <color rgb="FF000000"/>
            <rFont val="Calibri"/>
            <family val="2"/>
          </rPr>
          <t xml:space="preserve">3
</t>
        </r>
        <r>
          <rPr>
            <b/>
            <sz val="11"/>
            <color rgb="FF000000"/>
            <rFont val="Calibri"/>
            <family val="2"/>
          </rPr>
          <t xml:space="preserve">Field type : </t>
        </r>
        <r>
          <rPr>
            <sz val="11"/>
            <color rgb="FF000000"/>
            <rFont val="Calibri"/>
            <family val="2"/>
          </rPr>
          <t xml:space="preserve">integer
</t>
        </r>
      </text>
    </comment>
    <comment ref="C60" authorId="0" shapeId="0" xr:uid="{00000000-0006-0000-0100-00003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link to a literature reference, electronic resource or a standard operating procedure (SOP), that describes the nucleic acid amplification
</t>
        </r>
        <r>
          <rPr>
            <b/>
            <sz val="11"/>
            <color rgb="FF000000"/>
            <rFont val="Calibri"/>
            <family val="2"/>
          </rPr>
          <t xml:space="preserve">Example : </t>
        </r>
        <r>
          <rPr>
            <sz val="11"/>
            <color rgb="FF000000"/>
            <rFont val="Calibri"/>
            <family val="2"/>
          </rPr>
          <t xml:space="preserve">https://phylogenomics.me/protocols/16s-pcr-protocol/
</t>
        </r>
        <r>
          <rPr>
            <b/>
            <sz val="11"/>
            <color rgb="FF000000"/>
            <rFont val="Calibri"/>
            <family val="2"/>
          </rPr>
          <t xml:space="preserve">Field type : </t>
        </r>
        <r>
          <rPr>
            <sz val="11"/>
            <color rgb="FF000000"/>
            <rFont val="Calibri"/>
            <family val="2"/>
          </rPr>
          <t xml:space="preserve">free text
</t>
        </r>
      </text>
    </comment>
    <comment ref="C61" authorId="0" shapeId="0" xr:uid="{00000000-0006-0000-0100-00003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Description of reaction conditions and components of PCR. The recommended format is </t>
        </r>
        <r>
          <rPr>
            <sz val="11"/>
            <color rgb="FF000000"/>
            <rFont val="Calibri"/>
            <family val="2"/>
          </rPr>
          <t>´</t>
        </r>
        <r>
          <rPr>
            <sz val="11"/>
            <color rgb="FF000000"/>
            <rFont val="Calibri"/>
            <family val="2"/>
          </rPr>
          <t>initial denaturation:degrees_minutes;annealing:degrees_minutes;elongation:degrees_minutes;final elongation:degrees_minutes;total cycles</t>
        </r>
        <r>
          <rPr>
            <sz val="11"/>
            <color rgb="FF000000"/>
            <rFont val="Calibri"/>
            <family val="2"/>
          </rPr>
          <t>´</t>
        </r>
        <r>
          <rPr>
            <sz val="11"/>
            <color rgb="FF000000"/>
            <rFont val="Calibri"/>
            <family val="2"/>
          </rPr>
          <t xml:space="preserve">, where possible. If two-step PCR was applied for a metabarcoding approach, enter the second PCR protocol under the term pcr2_cond in the library preparation/sequencing section.
</t>
        </r>
        <r>
          <rPr>
            <b/>
            <sz val="11"/>
            <color rgb="FF000000"/>
            <rFont val="Calibri"/>
            <family val="2"/>
          </rPr>
          <t xml:space="preserve">Example : </t>
        </r>
        <r>
          <rPr>
            <sz val="11"/>
            <color rgb="FF000000"/>
            <rFont val="Calibri"/>
            <family val="2"/>
          </rPr>
          <t xml:space="preserve">initial denaturation:94_3;annealing:50_1;elongation:72_1.5;final elongation:72_10;35
</t>
        </r>
        <r>
          <rPr>
            <b/>
            <sz val="11"/>
            <color rgb="FF000000"/>
            <rFont val="Calibri"/>
            <family val="2"/>
          </rPr>
          <t xml:space="preserve">Field type : </t>
        </r>
        <r>
          <rPr>
            <sz val="11"/>
            <color rgb="FF000000"/>
            <rFont val="Calibri"/>
            <family val="2"/>
          </rPr>
          <t xml:space="preserve">free text
</t>
        </r>
      </text>
    </comment>
    <comment ref="C62" authorId="0" shapeId="0" xr:uid="{00000000-0006-0000-0100-00003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reaction temperature during the annealing phase of PCR. If two-step PCR was applied for a metabarcoding approach, enter the second PCR protocol under the term pcr2_* in the library preparation/sequencing section. Unit = degree Celsius
</t>
        </r>
        <r>
          <rPr>
            <b/>
            <sz val="11"/>
            <color rgb="FF000000"/>
            <rFont val="Calibri"/>
            <family val="2"/>
          </rPr>
          <t xml:space="preserve">Example : </t>
        </r>
        <r>
          <rPr>
            <sz val="11"/>
            <color rgb="FF000000"/>
            <rFont val="Calibri"/>
            <family val="2"/>
          </rPr>
          <t xml:space="preserve">60.0
</t>
        </r>
        <r>
          <rPr>
            <b/>
            <sz val="11"/>
            <color rgb="FF000000"/>
            <rFont val="Calibri"/>
            <family val="2"/>
          </rPr>
          <t xml:space="preserve">Field type : </t>
        </r>
        <r>
          <rPr>
            <sz val="11"/>
            <color rgb="FF000000"/>
            <rFont val="Calibri"/>
            <family val="2"/>
          </rPr>
          <t xml:space="preserve">numeric
</t>
        </r>
      </text>
    </comment>
    <comment ref="C63" authorId="0" shapeId="0" xr:uid="{00000000-0006-0000-0100-00003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Number of PCR cycles. If two-step PCR was applied for a metabarcoding approach, enter the second PCR protocol under the term pcr2_* in the library preparation/sequencing section. Unit = cycles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integer
</t>
        </r>
      </text>
    </comment>
    <comment ref="C64" authorId="0" shapeId="0" xr:uid="{00000000-0006-0000-0100-00003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program used to analyse the PCR runs.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BIO-RAD QuantaSoft
</t>
        </r>
        <r>
          <rPr>
            <b/>
            <sz val="11"/>
            <color rgb="FF000000"/>
            <rFont val="Calibri"/>
            <family val="2"/>
          </rPr>
          <t xml:space="preserve">Field type : </t>
        </r>
        <r>
          <rPr>
            <sz val="11"/>
            <color rgb="FF000000"/>
            <rFont val="Calibri"/>
            <family val="2"/>
          </rPr>
          <t xml:space="preserve">free text
</t>
        </r>
      </text>
    </comment>
    <comment ref="C65" authorId="0" shapeId="0" xr:uid="{00000000-0006-0000-0100-00004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PCR or PCR-free method, that has not been shared in the given record (i.e. multiplexing, hybridisation, CRISPR-Cas). If two-step PCR was applied,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Blocking primer (TAGTATAGCTACGAAGCCGAGGAGG-c3) (Wilcox et al. 2014, DOI 10.1007/s12686-013-0113-4) was applied to prevent elongation of a closely related species
</t>
        </r>
        <r>
          <rPr>
            <b/>
            <sz val="11"/>
            <color rgb="FF000000"/>
            <rFont val="Calibri"/>
            <family val="2"/>
          </rPr>
          <t xml:space="preserve">Field type : </t>
        </r>
        <r>
          <rPr>
            <sz val="11"/>
            <color rgb="FF000000"/>
            <rFont val="Calibri"/>
            <family val="2"/>
          </rPr>
          <t xml:space="preserve">free text
</t>
        </r>
      </text>
    </comment>
    <comment ref="C66" authorId="0" shapeId="0" xr:uid="{00000000-0006-0000-0100-000041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Amplicon visualisation method (i.e., qPCR, dPCR, gel electrophoresis, PCR capillary electrophoresis (PCR-CE), Loop-mediated isothermal amplification (LAMP)) to determine the detection of a targeted taxon
</t>
        </r>
        <r>
          <rPr>
            <b/>
            <sz val="11"/>
            <color rgb="FF000000"/>
            <rFont val="Calibri"/>
            <family val="2"/>
          </rPr>
          <t xml:space="preserve">Example : </t>
        </r>
        <r>
          <rPr>
            <sz val="11"/>
            <color rgb="FF000000"/>
            <rFont val="Calibri"/>
            <family val="2"/>
          </rPr>
          <t xml:space="preserve">qPCR
</t>
        </r>
        <r>
          <rPr>
            <b/>
            <sz val="11"/>
            <color rgb="FF000000"/>
            <rFont val="Calibri"/>
            <family val="2"/>
          </rPr>
          <t xml:space="preserve">Field type : </t>
        </r>
        <r>
          <rPr>
            <sz val="11"/>
            <color rgb="FFFF0000"/>
            <rFont val="Calibri"/>
            <family val="2"/>
          </rPr>
          <t xml:space="preserve">controlled vocabulary (qPCR | dPCR | gel electrophoresis | CE-PCR | LAMP | other:)
</t>
        </r>
      </text>
    </comment>
    <comment ref="C67" authorId="0" shapeId="0" xr:uid="{00000000-0006-0000-0100-000042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Criteria to determine positive detection. For example, a certain number of positive amplifications per sample, sanger sequencing of amplicons
</t>
        </r>
        <r>
          <rPr>
            <b/>
            <sz val="11"/>
            <color rgb="FF000000"/>
            <rFont val="Calibri"/>
            <family val="2"/>
          </rPr>
          <t xml:space="preserve">Example : </t>
        </r>
        <r>
          <rPr>
            <sz val="11"/>
            <color rgb="FF000000"/>
            <rFont val="Calibri"/>
            <family val="2"/>
          </rPr>
          <t xml:space="preserve">The minimum number of PCR replicates of 2 with positive amplification
</t>
        </r>
        <r>
          <rPr>
            <b/>
            <sz val="11"/>
            <color rgb="FF000000"/>
            <rFont val="Calibri"/>
            <family val="2"/>
          </rPr>
          <t xml:space="preserve">Field type : </t>
        </r>
        <r>
          <rPr>
            <sz val="11"/>
            <color rgb="FF000000"/>
            <rFont val="Calibri"/>
            <family val="2"/>
          </rPr>
          <t xml:space="preserve">free text
</t>
        </r>
      </text>
    </comment>
    <comment ref="C68" authorId="0" shapeId="0" xr:uid="{00000000-0006-0000-0100-00004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used for determining LOD e.g., DOI of a published procedure
</t>
        </r>
        <r>
          <rPr>
            <b/>
            <sz val="11"/>
            <color rgb="FF000000"/>
            <rFont val="Calibri"/>
            <family val="2"/>
          </rPr>
          <t xml:space="preserve">Example : </t>
        </r>
        <r>
          <rPr>
            <sz val="11"/>
            <color rgb="FF000000"/>
            <rFont val="Calibri"/>
            <family val="2"/>
          </rPr>
          <t xml:space="preserve">DOI: 10.1002/edn3.220
</t>
        </r>
        <r>
          <rPr>
            <b/>
            <sz val="11"/>
            <color rgb="FF000000"/>
            <rFont val="Calibri"/>
            <family val="2"/>
          </rPr>
          <t xml:space="preserve">Field type : </t>
        </r>
        <r>
          <rPr>
            <sz val="11"/>
            <color rgb="FF000000"/>
            <rFont val="Calibri"/>
            <family val="2"/>
          </rPr>
          <t xml:space="preserve">free text
</t>
        </r>
      </text>
    </comment>
    <comment ref="C69" authorId="0" shapeId="0" xr:uid="{00000000-0006-0000-0100-00004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technical replicates that the LOD is applied to. See DOI: 10.1002/edn3.220
</t>
        </r>
        <r>
          <rPr>
            <b/>
            <sz val="11"/>
            <color rgb="FF000000"/>
            <rFont val="Calibri"/>
            <family val="2"/>
          </rPr>
          <t xml:space="preserve">Example : </t>
        </r>
        <r>
          <rPr>
            <sz val="11"/>
            <color rgb="FF000000"/>
            <rFont val="Calibri"/>
            <family val="2"/>
          </rPr>
          <t xml:space="preserve">8
</t>
        </r>
        <r>
          <rPr>
            <b/>
            <sz val="11"/>
            <color rgb="FF000000"/>
            <rFont val="Calibri"/>
            <family val="2"/>
          </rPr>
          <t xml:space="preserve">Field type : </t>
        </r>
        <r>
          <rPr>
            <sz val="11"/>
            <color rgb="FF000000"/>
            <rFont val="Calibri"/>
            <family val="2"/>
          </rPr>
          <t xml:space="preserve">integer
</t>
        </r>
      </text>
    </comment>
    <comment ref="C70" authorId="0" shapeId="0" xr:uid="{00000000-0006-0000-0100-000045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Assay's limit of detection (LOD) (the lowest amount of target taxon DNA that can be detected with a defined level of confidence).
</t>
        </r>
        <r>
          <rPr>
            <b/>
            <sz val="11"/>
            <color rgb="FF000000"/>
            <rFont val="Calibri"/>
            <family val="2"/>
          </rPr>
          <t xml:space="preserve">Example : </t>
        </r>
        <r>
          <rPr>
            <sz val="11"/>
            <color rgb="FF000000"/>
            <rFont val="Calibri"/>
            <family val="2"/>
          </rPr>
          <t xml:space="preserve">51.0
</t>
        </r>
        <r>
          <rPr>
            <b/>
            <sz val="11"/>
            <color rgb="FF000000"/>
            <rFont val="Calibri"/>
            <family val="2"/>
          </rPr>
          <t xml:space="preserve">Field type : </t>
        </r>
        <r>
          <rPr>
            <sz val="11"/>
            <color rgb="FF000000"/>
            <rFont val="Calibri"/>
            <family val="2"/>
          </rPr>
          <t xml:space="preserve">numeric
</t>
        </r>
      </text>
    </comment>
    <comment ref="C71" authorId="0" shapeId="0" xr:uid="{00000000-0006-0000-0100-000046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Unit for pcr_assay_lod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(copies/reaction | copies/µL | ng/reaction | ng/µL | other:)
</t>
        </r>
      </text>
    </comment>
    <comment ref="C72" authorId="0" shapeId="0" xr:uid="{00000000-0006-0000-0100-00004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Upper 95% confidence limit for LOD for a given number of technical replicates. See DOI: 10.1002/edn3.220. Unit = same as pcr_assay_lod_unit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3" authorId="0" shapeId="0" xr:uid="{00000000-0006-0000-0100-00004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Lower 95% confidence limit for LOD for a given number of technical replicates. See DOI: 10.1002/edn3.220. Unit = same as pcr_assay_lod_unit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4" authorId="0" shapeId="0" xr:uid="{00000000-0006-0000-0100-00004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used for determining LOQ e.g., DOI of a published procedure
</t>
        </r>
        <r>
          <rPr>
            <b/>
            <sz val="11"/>
            <color rgb="FF000000"/>
            <rFont val="Calibri"/>
            <family val="2"/>
          </rPr>
          <t xml:space="preserve">Example : </t>
        </r>
        <r>
          <rPr>
            <sz val="11"/>
            <color rgb="FF000000"/>
            <rFont val="Calibri"/>
            <family val="2"/>
          </rPr>
          <t xml:space="preserve">DOI: 10.1002/edn3.220
</t>
        </r>
        <r>
          <rPr>
            <b/>
            <sz val="11"/>
            <color rgb="FF000000"/>
            <rFont val="Calibri"/>
            <family val="2"/>
          </rPr>
          <t xml:space="preserve">Field type : </t>
        </r>
        <r>
          <rPr>
            <sz val="11"/>
            <color rgb="FF000000"/>
            <rFont val="Calibri"/>
            <family val="2"/>
          </rPr>
          <t xml:space="preserve">free text
</t>
        </r>
      </text>
    </comment>
    <comment ref="C75" authorId="0" shapeId="0" xr:uid="{00000000-0006-0000-0100-00004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technical replicates that the LOQ is applied to. See DOI: 10.1002/edn3.220
</t>
        </r>
        <r>
          <rPr>
            <b/>
            <sz val="11"/>
            <color rgb="FF000000"/>
            <rFont val="Calibri"/>
            <family val="2"/>
          </rPr>
          <t xml:space="preserve">Example : </t>
        </r>
        <r>
          <rPr>
            <sz val="11"/>
            <color rgb="FF000000"/>
            <rFont val="Calibri"/>
            <family val="2"/>
          </rPr>
          <t xml:space="preserve">8
</t>
        </r>
        <r>
          <rPr>
            <b/>
            <sz val="11"/>
            <color rgb="FF000000"/>
            <rFont val="Calibri"/>
            <family val="2"/>
          </rPr>
          <t xml:space="preserve">Field type : </t>
        </r>
        <r>
          <rPr>
            <sz val="11"/>
            <color rgb="FF000000"/>
            <rFont val="Calibri"/>
            <family val="2"/>
          </rPr>
          <t xml:space="preserve">integer
</t>
        </r>
      </text>
    </comment>
    <comment ref="C76" authorId="0" shapeId="0" xr:uid="{00000000-0006-0000-0100-00004B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Assay's limit of quantification (LOQ) (the lowest amount of target taxon DNA that can be quantitatively determined with a stated precision under the stated experimental conditions).
</t>
        </r>
        <r>
          <rPr>
            <b/>
            <sz val="11"/>
            <color rgb="FF000000"/>
            <rFont val="Calibri"/>
            <family val="2"/>
          </rPr>
          <t xml:space="preserve">Example : </t>
        </r>
        <r>
          <rPr>
            <sz val="11"/>
            <color rgb="FF000000"/>
            <rFont val="Calibri"/>
            <family val="2"/>
          </rPr>
          <t xml:space="preserve">184.0
</t>
        </r>
        <r>
          <rPr>
            <b/>
            <sz val="11"/>
            <color rgb="FF000000"/>
            <rFont val="Calibri"/>
            <family val="2"/>
          </rPr>
          <t xml:space="preserve">Field type : </t>
        </r>
        <r>
          <rPr>
            <sz val="11"/>
            <color rgb="FF000000"/>
            <rFont val="Calibri"/>
            <family val="2"/>
          </rPr>
          <t xml:space="preserve">numeric
</t>
        </r>
      </text>
    </comment>
    <comment ref="C77" authorId="0" shapeId="0" xr:uid="{00000000-0006-0000-0100-00004C000000}">
      <text>
        <r>
          <rPr>
            <b/>
            <sz val="11"/>
            <color rgb="FF000000"/>
            <rFont val="Calibri"/>
            <family val="2"/>
          </rPr>
          <t xml:space="preserve">Requirement level : </t>
        </r>
        <r>
          <rPr>
            <b/>
            <sz val="11"/>
            <color rgb="FFFF0000"/>
            <rFont val="Calibri"/>
            <family val="2"/>
          </rPr>
          <t xml:space="preserve">Mandatory (If assay_type = targeted &amp; pcr_0_1 = 1)
</t>
        </r>
        <r>
          <rPr>
            <b/>
            <sz val="11"/>
            <color rgb="FF000000"/>
            <rFont val="Calibri"/>
            <family val="2"/>
          </rPr>
          <t xml:space="preserve">Description : </t>
        </r>
        <r>
          <rPr>
            <sz val="11"/>
            <color rgb="FF000000"/>
            <rFont val="Calibri"/>
            <family val="2"/>
          </rPr>
          <t xml:space="preserve">unit for pcr_assay_loq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(copies/reaction | copies/µL | ng/reaction | ng/µL | other:)
</t>
        </r>
      </text>
    </comment>
    <comment ref="C78" authorId="0" shapeId="0" xr:uid="{00000000-0006-0000-0100-00004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Upper 95% confidence limit for LOQ for a given number of technical replicates. See DOI: 10.1002/edn3.220. Unit = same as pcr_assay_loq_unit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79" authorId="0" shapeId="0" xr:uid="{00000000-0006-0000-0100-00004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Lower 95% confidence limit for LOQ for a given number of technical replicates. See DOI: 10.1002/edn3.220. Unit = same as pcr_assay_loq_unit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numeric
</t>
        </r>
      </text>
    </comment>
    <comment ref="C80" authorId="0" shapeId="0" xr:uid="{00000000-0006-0000-0100-00004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type of standard used for standard curves
</t>
        </r>
        <r>
          <rPr>
            <b/>
            <sz val="11"/>
            <color rgb="FF000000"/>
            <rFont val="Calibri"/>
            <family val="2"/>
          </rPr>
          <t xml:space="preserve">Example : </t>
        </r>
        <r>
          <rPr>
            <sz val="11"/>
            <color rgb="FF000000"/>
            <rFont val="Calibri"/>
            <family val="2"/>
          </rPr>
          <t xml:space="preserve">synthetic double-stranded DNA
</t>
        </r>
        <r>
          <rPr>
            <b/>
            <sz val="11"/>
            <color rgb="FF000000"/>
            <rFont val="Calibri"/>
            <family val="2"/>
          </rPr>
          <t xml:space="preserve">Field type : </t>
        </r>
        <r>
          <rPr>
            <sz val="11"/>
            <color rgb="FFFF0000"/>
            <rFont val="Calibri"/>
            <family val="2"/>
          </rPr>
          <t xml:space="preserve">controlled vocabulary (synthetic double-stranded DNA | plasmid | amplicon | gDNA | other:)
</t>
        </r>
      </text>
    </comment>
    <comment ref="C81" authorId="0" shapeId="0" xr:uid="{00000000-0006-0000-0100-00005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source of standard used for standard curves
</t>
        </r>
        <r>
          <rPr>
            <b/>
            <sz val="11"/>
            <color rgb="FF000000"/>
            <rFont val="Calibri"/>
            <family val="2"/>
          </rPr>
          <t xml:space="preserve">Example : </t>
        </r>
        <r>
          <rPr>
            <sz val="11"/>
            <color rgb="FF000000"/>
            <rFont val="Calibri"/>
            <family val="2"/>
          </rPr>
          <t xml:space="preserve">ThermoFisher
</t>
        </r>
        <r>
          <rPr>
            <b/>
            <sz val="11"/>
            <color rgb="FF000000"/>
            <rFont val="Calibri"/>
            <family val="2"/>
          </rPr>
          <t xml:space="preserve">Field type : </t>
        </r>
        <r>
          <rPr>
            <sz val="11"/>
            <color rgb="FF000000"/>
            <rFont val="Calibri"/>
            <family val="2"/>
          </rPr>
          <t xml:space="preserve">free text
</t>
        </r>
      </text>
    </comment>
    <comment ref="C82" authorId="0" shapeId="0" xr:uid="{00000000-0006-0000-0100-00005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DNA sequences of standard
</t>
        </r>
        <r>
          <rPr>
            <b/>
            <sz val="11"/>
            <color rgb="FF000000"/>
            <rFont val="Calibri"/>
            <family val="2"/>
          </rPr>
          <t xml:space="preserve">Example : </t>
        </r>
        <r>
          <rPr>
            <sz val="11"/>
            <color rgb="FF000000"/>
            <rFont val="Calibri"/>
            <family val="2"/>
          </rPr>
          <t xml:space="preserve">GTCTCTCCCTGTATATCGTCATGACATCTTCAGCCTTCCTCACATTAAAAACCAACAACTCTTTAACCATCAATACTCTCGCAACTTCATGAACTAAATCCCGACCCTTGCCGCATTAACCGCTCT
</t>
        </r>
        <r>
          <rPr>
            <b/>
            <sz val="11"/>
            <color rgb="FF000000"/>
            <rFont val="Calibri"/>
            <family val="2"/>
          </rPr>
          <t xml:space="preserve">Field type : </t>
        </r>
        <r>
          <rPr>
            <sz val="11"/>
            <color rgb="FF000000"/>
            <rFont val="Calibri"/>
            <family val="2"/>
          </rPr>
          <t xml:space="preserve">free text
</t>
        </r>
      </text>
    </comment>
    <comment ref="C83" authorId="0" shapeId="0" xr:uid="{00000000-0006-0000-0100-000052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Threshold for change in fluorescence signal between cycles. No unit.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text>
    </comment>
    <comment ref="C84" authorId="0" shapeId="0" xr:uid="{00000000-0006-0000-0100-00005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number of cycles when fluorescence signal from the target amplification is below background fluorescence not originated from the real target amplification. Unit = cycle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integer
</t>
        </r>
      </text>
    </comment>
    <comment ref="C85" authorId="0" shapeId="0" xr:uid="{00000000-0006-0000-0100-00005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Whether the threshold was set by the instrument (1) or manually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86" authorId="0" shapeId="0" xr:uid="{00000000-0006-0000-0100-00005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Whether the baseline value was set by the instrument (1) or manually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C87" authorId="0" shapeId="0" xr:uid="{00000000-0006-0000-0100-00005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Targeted assay detection method, that has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88" authorId="0" shapeId="0" xr:uid="{00000000-0006-0000-0100-000057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PCR approach for metabarcoding
</t>
        </r>
        <r>
          <rPr>
            <b/>
            <sz val="11"/>
            <color rgb="FF000000"/>
            <rFont val="Calibri"/>
            <family val="2"/>
          </rPr>
          <t xml:space="preserve">Example : </t>
        </r>
        <r>
          <rPr>
            <sz val="11"/>
            <color rgb="FF000000"/>
            <rFont val="Calibri"/>
            <family val="2"/>
          </rPr>
          <t xml:space="preserve">two-step PCR
</t>
        </r>
        <r>
          <rPr>
            <b/>
            <sz val="11"/>
            <color rgb="FF000000"/>
            <rFont val="Calibri"/>
            <family val="2"/>
          </rPr>
          <t xml:space="preserve">Field type : </t>
        </r>
        <r>
          <rPr>
            <sz val="11"/>
            <color rgb="FFFF0000"/>
            <rFont val="Calibri"/>
            <family val="2"/>
          </rPr>
          <t xml:space="preserve">controlled vocabulary (one-step PCR | two-step PCR | ligation-based | other:)
</t>
        </r>
      </text>
    </comment>
    <comment ref="C89" authorId="0" shapeId="0" xr:uid="{00000000-0006-0000-0100-00005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The manufacturer and model of a thermocycler used in the second step PCR
</t>
        </r>
        <r>
          <rPr>
            <b/>
            <sz val="11"/>
            <color rgb="FF000000"/>
            <rFont val="Calibri"/>
            <family val="2"/>
          </rPr>
          <t xml:space="preserve">Example : </t>
        </r>
        <r>
          <rPr>
            <sz val="11"/>
            <color rgb="FF000000"/>
            <rFont val="Calibri"/>
            <family val="2"/>
          </rPr>
          <t xml:space="preserve">Thermo Fisher Scientific, QuantStudio 6
</t>
        </r>
        <r>
          <rPr>
            <b/>
            <sz val="11"/>
            <color rgb="FF000000"/>
            <rFont val="Calibri"/>
            <family val="2"/>
          </rPr>
          <t xml:space="preserve">Field type : </t>
        </r>
        <r>
          <rPr>
            <sz val="11"/>
            <color rgb="FF000000"/>
            <rFont val="Calibri"/>
            <family val="2"/>
          </rPr>
          <t xml:space="preserve">free text
</t>
        </r>
      </text>
    </comment>
    <comment ref="C90" authorId="0" shapeId="0" xr:uid="{00000000-0006-0000-0100-00005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total PCR reaction volume in the second step PCR. Unit = µL
</t>
        </r>
        <r>
          <rPr>
            <b/>
            <sz val="11"/>
            <color rgb="FF000000"/>
            <rFont val="Calibri"/>
            <family val="2"/>
          </rPr>
          <t xml:space="preserve">Example : </t>
        </r>
        <r>
          <rPr>
            <sz val="11"/>
            <color rgb="FF000000"/>
            <rFont val="Calibri"/>
            <family val="2"/>
          </rPr>
          <t xml:space="preserve">22.0
</t>
        </r>
        <r>
          <rPr>
            <b/>
            <sz val="11"/>
            <color rgb="FF000000"/>
            <rFont val="Calibri"/>
            <family val="2"/>
          </rPr>
          <t xml:space="preserve">Field type : </t>
        </r>
        <r>
          <rPr>
            <sz val="11"/>
            <color rgb="FF000000"/>
            <rFont val="Calibri"/>
            <family val="2"/>
          </rPr>
          <t xml:space="preserve">numeric
</t>
        </r>
      </text>
    </comment>
    <comment ref="C91" authorId="0" shapeId="0" xr:uid="{00000000-0006-0000-0100-00005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Name, brand, and manufacture of commercial, pre-made master mix  in the second step PCR (if commercial master mix was used)
</t>
        </r>
        <r>
          <rPr>
            <b/>
            <sz val="11"/>
            <color rgb="FF000000"/>
            <rFont val="Calibri"/>
            <family val="2"/>
          </rPr>
          <t xml:space="preserve">Example : </t>
        </r>
        <r>
          <rPr>
            <sz val="11"/>
            <color rgb="FF000000"/>
            <rFont val="Calibri"/>
            <family val="2"/>
          </rPr>
          <t xml:space="preserve">Luna® Universal qPCR Master Mix, New England Biolabs
</t>
        </r>
        <r>
          <rPr>
            <b/>
            <sz val="11"/>
            <color rgb="FF000000"/>
            <rFont val="Calibri"/>
            <family val="2"/>
          </rPr>
          <t xml:space="preserve">Field type : </t>
        </r>
        <r>
          <rPr>
            <sz val="11"/>
            <color rgb="FF000000"/>
            <rFont val="Calibri"/>
            <family val="2"/>
          </rPr>
          <t xml:space="preserve">free text
</t>
        </r>
      </text>
    </comment>
    <comment ref="C92" authorId="0" shapeId="0" xr:uid="{00000000-0006-0000-0100-00005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composition of custom master mix, including the names, volumes and concentrations of additives (i.e., salts, buffers, enzyme and other components)  in the second step PCR (if custom master mix was used)
</t>
        </r>
        <r>
          <rPr>
            <b/>
            <sz val="11"/>
            <color rgb="FF000000"/>
            <rFont val="Calibri"/>
            <family val="2"/>
          </rPr>
          <t xml:space="preserve">Example : </t>
        </r>
        <r>
          <rPr>
            <sz val="11"/>
            <color rgb="FF000000"/>
            <rFont val="Calibri"/>
            <family val="2"/>
          </rPr>
          <t xml:space="preserve">Each PCR reaction comprised: 1 x Taq Gold buffer (Applied Biosystems [ABI], USA), 2 nM MgCl2 (ABI, USA), 0.4 mg/mL BSA (Fisher Biotec, Australia), 0.25 mM dNTPs (Astral Scientific, Australia), 0.4 μM each of forward and reverse primers (Integrated DNA Technologies, Australia), 0.6 μL of 1/10,000 SYBR Green dye (Life Technologies, USA), 1 U of Taq polymerase Gold (ABI, USA), 2 μL of DNA, and made up to 25 μL with PCR grade water
</t>
        </r>
        <r>
          <rPr>
            <b/>
            <sz val="11"/>
            <color rgb="FF000000"/>
            <rFont val="Calibri"/>
            <family val="2"/>
          </rPr>
          <t xml:space="preserve">Field type : </t>
        </r>
        <r>
          <rPr>
            <sz val="11"/>
            <color rgb="FF000000"/>
            <rFont val="Calibri"/>
            <family val="2"/>
          </rPr>
          <t xml:space="preserve">free text
</t>
        </r>
      </text>
    </comment>
    <comment ref="C93" authorId="0" shapeId="0" xr:uid="{00000000-0006-0000-0100-00005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Volume of DNA added in each reaction in the second step PCR. Unit = µL
</t>
        </r>
        <r>
          <rPr>
            <b/>
            <sz val="11"/>
            <color rgb="FF000000"/>
            <rFont val="Calibri"/>
            <family val="2"/>
          </rPr>
          <t xml:space="preserve">Example : </t>
        </r>
        <r>
          <rPr>
            <sz val="11"/>
            <color rgb="FF000000"/>
            <rFont val="Calibri"/>
            <family val="2"/>
          </rPr>
          <t xml:space="preserve">2.0
</t>
        </r>
        <r>
          <rPr>
            <b/>
            <sz val="11"/>
            <color rgb="FF000000"/>
            <rFont val="Calibri"/>
            <family val="2"/>
          </rPr>
          <t xml:space="preserve">Field type : </t>
        </r>
        <r>
          <rPr>
            <sz val="11"/>
            <color rgb="FF000000"/>
            <rFont val="Calibri"/>
            <family val="2"/>
          </rPr>
          <t xml:space="preserve">numeric
</t>
        </r>
      </text>
    </comment>
    <comment ref="C94" authorId="0" shapeId="0" xr:uid="{00000000-0006-0000-0100-00005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Description of reaction conditions and components of in the second PCR. The recommended format is </t>
        </r>
        <r>
          <rPr>
            <sz val="11"/>
            <color rgb="FF000000"/>
            <rFont val="Calibri"/>
            <family val="2"/>
          </rPr>
          <t>´</t>
        </r>
        <r>
          <rPr>
            <sz val="11"/>
            <color rgb="FF000000"/>
            <rFont val="Calibri"/>
            <family val="2"/>
          </rPr>
          <t>initial denaturation:degrees_minutes;annealing:degrees_minutes;elongation:degrees_minutes;final elongation:degrees_minutes;total cycles</t>
        </r>
        <r>
          <rPr>
            <sz val="11"/>
            <color rgb="FF000000"/>
            <rFont val="Calibri"/>
            <family val="2"/>
          </rPr>
          <t>´</t>
        </r>
        <r>
          <rPr>
            <sz val="11"/>
            <color rgb="FF000000"/>
            <rFont val="Calibri"/>
            <family val="2"/>
          </rPr>
          <t xml:space="preserve">, where possible.
</t>
        </r>
        <r>
          <rPr>
            <b/>
            <sz val="11"/>
            <color rgb="FF000000"/>
            <rFont val="Calibri"/>
            <family val="2"/>
          </rPr>
          <t xml:space="preserve">Example : </t>
        </r>
        <r>
          <rPr>
            <sz val="11"/>
            <color rgb="FF000000"/>
            <rFont val="Calibri"/>
            <family val="2"/>
          </rPr>
          <t xml:space="preserve">initial denaturation:94_3;annealing:50_1;elongation:72_1.5;final elongation:72_10;35
</t>
        </r>
        <r>
          <rPr>
            <b/>
            <sz val="11"/>
            <color rgb="FF000000"/>
            <rFont val="Calibri"/>
            <family val="2"/>
          </rPr>
          <t xml:space="preserve">Field type : </t>
        </r>
        <r>
          <rPr>
            <sz val="11"/>
            <color rgb="FF000000"/>
            <rFont val="Calibri"/>
            <family val="2"/>
          </rPr>
          <t xml:space="preserve">free text
</t>
        </r>
      </text>
    </comment>
    <comment ref="C95" authorId="0" shapeId="0" xr:uid="{00000000-0006-0000-0100-00005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The reaction temperature during the annealing phase of the second step PCR. Unit = degree Celsius
</t>
        </r>
        <r>
          <rPr>
            <b/>
            <sz val="11"/>
            <color rgb="FF000000"/>
            <rFont val="Calibri"/>
            <family val="2"/>
          </rPr>
          <t xml:space="preserve">Example : </t>
        </r>
        <r>
          <rPr>
            <sz val="11"/>
            <color rgb="FF000000"/>
            <rFont val="Calibri"/>
            <family val="2"/>
          </rPr>
          <t xml:space="preserve">60.0
</t>
        </r>
        <r>
          <rPr>
            <b/>
            <sz val="11"/>
            <color rgb="FF000000"/>
            <rFont val="Calibri"/>
            <family val="2"/>
          </rPr>
          <t xml:space="preserve">Field type : </t>
        </r>
        <r>
          <rPr>
            <sz val="11"/>
            <color rgb="FF000000"/>
            <rFont val="Calibri"/>
            <family val="2"/>
          </rPr>
          <t xml:space="preserve">numeric
</t>
        </r>
      </text>
    </comment>
    <comment ref="C96" authorId="0" shapeId="0" xr:uid="{00000000-0006-0000-0100-00005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Number of PCR cycles in the second step PCR. Unit = cycles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integer
</t>
        </r>
      </text>
    </comment>
    <comment ref="C97" authorId="0" shapeId="0" xr:uid="{00000000-0006-0000-0100-00006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The program used to analyse the PCR runs  in the second step PCR
</t>
        </r>
        <r>
          <rPr>
            <b/>
            <sz val="11"/>
            <color rgb="FF000000"/>
            <rFont val="Calibri"/>
            <family val="2"/>
          </rPr>
          <t xml:space="preserve">Example : </t>
        </r>
        <r>
          <rPr>
            <sz val="11"/>
            <color rgb="FF000000"/>
            <rFont val="Calibri"/>
            <family val="2"/>
          </rPr>
          <t xml:space="preserve">BIO-RAD QuantaSoft
</t>
        </r>
        <r>
          <rPr>
            <b/>
            <sz val="11"/>
            <color rgb="FF000000"/>
            <rFont val="Calibri"/>
            <family val="2"/>
          </rPr>
          <t xml:space="preserve">Field type : </t>
        </r>
        <r>
          <rPr>
            <sz val="11"/>
            <color rgb="FF000000"/>
            <rFont val="Calibri"/>
            <family val="2"/>
          </rPr>
          <t xml:space="preserve">free text
</t>
        </r>
      </text>
    </comment>
    <comment ref="C98" authorId="0" shapeId="0" xr:uid="{00000000-0006-0000-0100-00006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(If bacroding_pcr_appr = "two-step PCR") Plate ID in the second step PCR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C99" authorId="0" shapeId="0" xr:uid="{00000000-0006-0000-0100-00006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(If bacroding_pcr_appr = "two-step PCR") Additional information on PCR or PCR-free method, that has not been shared in the given record in the second step PCR
</t>
        </r>
        <r>
          <rPr>
            <b/>
            <sz val="11"/>
            <color rgb="FF000000"/>
            <rFont val="Calibri"/>
            <family val="2"/>
          </rPr>
          <t xml:space="preserve">Example : </t>
        </r>
        <r>
          <rPr>
            <sz val="11"/>
            <color rgb="FF000000"/>
            <rFont val="Calibri"/>
            <family val="2"/>
          </rPr>
          <t xml:space="preserve">Blocking primer (TAGTATAGCTACGAAGCCGAGGAGG-c3) (Wilcox et al. 2014, DOI 10.1007/s12686-013-0113-4) was applied to prevent elongation of a closely related species
</t>
        </r>
        <r>
          <rPr>
            <b/>
            <sz val="11"/>
            <color rgb="FF000000"/>
            <rFont val="Calibri"/>
            <family val="2"/>
          </rPr>
          <t xml:space="preserve">Field type : </t>
        </r>
        <r>
          <rPr>
            <sz val="11"/>
            <color rgb="FF000000"/>
            <rFont val="Calibri"/>
            <family val="2"/>
          </rPr>
          <t xml:space="preserve">free text
</t>
        </r>
      </text>
    </comment>
    <comment ref="C100" authorId="0" shapeId="0" xr:uid="{00000000-0006-0000-0100-00006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location the sequencing run was performed. Indicate the name of the lab or core facility where samples were sequenced
</t>
        </r>
        <r>
          <rPr>
            <b/>
            <sz val="11"/>
            <color rgb="FF000000"/>
            <rFont val="Calibri"/>
            <family val="2"/>
          </rPr>
          <t xml:space="preserve">Example : </t>
        </r>
        <r>
          <rPr>
            <sz val="11"/>
            <color rgb="FF000000"/>
            <rFont val="Calibri"/>
            <family val="2"/>
          </rPr>
          <t xml:space="preserve">University of Maryland Genomics Resource Center
</t>
        </r>
        <r>
          <rPr>
            <b/>
            <sz val="11"/>
            <color rgb="FF000000"/>
            <rFont val="Calibri"/>
            <family val="2"/>
          </rPr>
          <t xml:space="preserve">Field type : </t>
        </r>
        <r>
          <rPr>
            <sz val="11"/>
            <color rgb="FF000000"/>
            <rFont val="Calibri"/>
            <family val="2"/>
          </rPr>
          <t xml:space="preserve">free text
</t>
        </r>
      </text>
    </comment>
    <comment ref="C101" authorId="0" shapeId="0" xr:uid="{00000000-0006-0000-0100-000064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General sequencing platform used.
</t>
        </r>
        <r>
          <rPr>
            <b/>
            <sz val="11"/>
            <color rgb="FF000000"/>
            <rFont val="Calibri"/>
            <family val="2"/>
          </rPr>
          <t xml:space="preserve">Example : </t>
        </r>
        <r>
          <rPr>
            <sz val="11"/>
            <color rgb="FF000000"/>
            <rFont val="Calibri"/>
            <family val="2"/>
          </rPr>
          <t xml:space="preserve">ILLUMINA
</t>
        </r>
        <r>
          <rPr>
            <b/>
            <sz val="11"/>
            <color rgb="FF000000"/>
            <rFont val="Calibri"/>
            <family val="2"/>
          </rPr>
          <t xml:space="preserve">Field type : </t>
        </r>
        <r>
          <rPr>
            <sz val="11"/>
            <color rgb="FFFF0000"/>
            <rFont val="Calibri"/>
            <family val="2"/>
          </rPr>
          <t xml:space="preserve">controlled vocabulary (ILLUMINA | BGISEQ | CAPILLARY | DNBSEQ | ELEMENT | GENAPSYS | GENEMIND | HELICOS | ION_TORRENT | LS454 | OXFORD_NANOPORE | PACBIO_SMRT | TAPESTRI | VELA_DIAGNOSTICS | ULTIMA | other:)
</t>
        </r>
      </text>
    </comment>
    <comment ref="C102" authorId="0" shapeId="0" xr:uid="{00000000-0006-0000-0100-000065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Sequencing instrument (manufacturer and model) used. Where possible the term should be taken from the OBI list of DNA sequencers (https://ontobee.org/ontology/OBI?iri=http://purl.obolibrary.org/obo/OBI_0002750)
</t>
        </r>
        <r>
          <rPr>
            <b/>
            <sz val="11"/>
            <color rgb="FF000000"/>
            <rFont val="Calibri"/>
            <family val="2"/>
          </rPr>
          <t xml:space="preserve">Example : </t>
        </r>
        <r>
          <rPr>
            <sz val="11"/>
            <color rgb="FF000000"/>
            <rFont val="Calibri"/>
            <family val="2"/>
          </rPr>
          <t xml:space="preserve">Illumina HiSeq 1500 [OBI_0003386]
</t>
        </r>
        <r>
          <rPr>
            <b/>
            <sz val="11"/>
            <color rgb="FF000000"/>
            <rFont val="Calibri"/>
            <family val="2"/>
          </rPr>
          <t xml:space="preserve">Field type : </t>
        </r>
        <r>
          <rPr>
            <sz val="11"/>
            <color rgb="FFFF0000"/>
            <rFont val="Calibri"/>
            <family val="2"/>
          </rPr>
          <t xml:space="preserve">fixed format (NA)
</t>
        </r>
      </text>
    </comment>
    <comment ref="C103" authorId="0" shapeId="0" xr:uid="{00000000-0006-0000-0100-000066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name of sequencing kit
</t>
        </r>
        <r>
          <rPr>
            <b/>
            <sz val="11"/>
            <color rgb="FF000000"/>
            <rFont val="Calibri"/>
            <family val="2"/>
          </rPr>
          <t xml:space="preserve">Example : </t>
        </r>
        <r>
          <rPr>
            <sz val="11"/>
            <color rgb="FF000000"/>
            <rFont val="Calibri"/>
            <family val="2"/>
          </rPr>
          <t xml:space="preserve">NextSeq 500/550 v2.5
</t>
        </r>
        <r>
          <rPr>
            <b/>
            <sz val="11"/>
            <color rgb="FF000000"/>
            <rFont val="Calibri"/>
            <family val="2"/>
          </rPr>
          <t xml:space="preserve">Field type : </t>
        </r>
        <r>
          <rPr>
            <sz val="11"/>
            <color rgb="FF000000"/>
            <rFont val="Calibri"/>
            <family val="2"/>
          </rPr>
          <t xml:space="preserve">free text
</t>
        </r>
      </text>
    </comment>
    <comment ref="C104" authorId="0" shapeId="0" xr:uid="{00000000-0006-0000-0100-00006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Specify whether to expect single, paired, or other configuration of reads
</t>
        </r>
        <r>
          <rPr>
            <b/>
            <sz val="11"/>
            <color rgb="FF000000"/>
            <rFont val="Calibri"/>
            <family val="2"/>
          </rPr>
          <t xml:space="preserve">Example : </t>
        </r>
        <r>
          <rPr>
            <sz val="11"/>
            <color rgb="FF000000"/>
            <rFont val="Calibri"/>
            <family val="2"/>
          </rPr>
          <t xml:space="preserve">paired end
</t>
        </r>
        <r>
          <rPr>
            <b/>
            <sz val="11"/>
            <color rgb="FF000000"/>
            <rFont val="Calibri"/>
            <family val="2"/>
          </rPr>
          <t xml:space="preserve">Field type : </t>
        </r>
        <r>
          <rPr>
            <sz val="11"/>
            <color rgb="FFFF0000"/>
            <rFont val="Calibri"/>
            <family val="2"/>
          </rPr>
          <t xml:space="preserve">controlled vocabulary (paired end | single end | other:)
</t>
        </r>
      </text>
    </comment>
    <comment ref="C105" authorId="0" shapeId="0" xr:uid="{00000000-0006-0000-0100-00006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Forward sequencing adapter. The sequence should be reported in uppercase letters
</t>
        </r>
        <r>
          <rPr>
            <b/>
            <sz val="11"/>
            <color rgb="FF000000"/>
            <rFont val="Calibri"/>
            <family val="2"/>
          </rPr>
          <t xml:space="preserve">Example : </t>
        </r>
        <r>
          <rPr>
            <sz val="11"/>
            <color rgb="FF000000"/>
            <rFont val="Calibri"/>
            <family val="2"/>
          </rPr>
          <t xml:space="preserve">AATGATACGGCGACCACCGAGATCTACACGCT
</t>
        </r>
        <r>
          <rPr>
            <b/>
            <sz val="11"/>
            <color rgb="FF000000"/>
            <rFont val="Calibri"/>
            <family val="2"/>
          </rPr>
          <t xml:space="preserve">Field type : </t>
        </r>
        <r>
          <rPr>
            <sz val="11"/>
            <color rgb="FF000000"/>
            <rFont val="Calibri"/>
            <family val="2"/>
          </rPr>
          <t xml:space="preserve">free text
</t>
        </r>
      </text>
    </comment>
    <comment ref="C106" authorId="0" shapeId="0" xr:uid="{00000000-0006-0000-0100-00006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Reverse sequencing adapter. The sequence should be reported in uppercase letters
</t>
        </r>
        <r>
          <rPr>
            <b/>
            <sz val="11"/>
            <color rgb="FF000000"/>
            <rFont val="Calibri"/>
            <family val="2"/>
          </rPr>
          <t xml:space="preserve">Example : </t>
        </r>
        <r>
          <rPr>
            <sz val="11"/>
            <color rgb="FF000000"/>
            <rFont val="Calibri"/>
            <family val="2"/>
          </rPr>
          <t xml:space="preserve">CAAGCAGAAGACGGCATACGAGAT
</t>
        </r>
        <r>
          <rPr>
            <b/>
            <sz val="11"/>
            <color rgb="FF000000"/>
            <rFont val="Calibri"/>
            <family val="2"/>
          </rPr>
          <t xml:space="preserve">Field type : </t>
        </r>
        <r>
          <rPr>
            <sz val="11"/>
            <color rgb="FF000000"/>
            <rFont val="Calibri"/>
            <family val="2"/>
          </rPr>
          <t xml:space="preserve">free text
</t>
        </r>
      </text>
    </comment>
    <comment ref="C107" authorId="0" shapeId="0" xr:uid="{00000000-0006-0000-0100-00006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Specific enrichment or screening methods applied before and/or after creating libraries
</t>
        </r>
        <r>
          <rPr>
            <b/>
            <sz val="11"/>
            <color rgb="FF000000"/>
            <rFont val="Calibri"/>
            <family val="2"/>
          </rPr>
          <t xml:space="preserve">Example : </t>
        </r>
        <r>
          <rPr>
            <sz val="11"/>
            <color rgb="FF000000"/>
            <rFont val="Calibri"/>
            <family val="2"/>
          </rPr>
          <t xml:space="preserve">The library was size selected using a Pippin-Prep (Sage Science, Beverly, USA), purified using the Qiaquick PCR Purification Kit (Qiagen), quantified using a Qubit (Invitrogen) and diluted to 2 nM before loading it onto a MiSeq Flow Cell
</t>
        </r>
        <r>
          <rPr>
            <b/>
            <sz val="11"/>
            <color rgb="FF000000"/>
            <rFont val="Calibri"/>
            <family val="2"/>
          </rPr>
          <t xml:space="preserve">Field type : </t>
        </r>
        <r>
          <rPr>
            <sz val="11"/>
            <color rgb="FF000000"/>
            <rFont val="Calibri"/>
            <family val="2"/>
          </rPr>
          <t xml:space="preserve">free text
</t>
        </r>
      </text>
    </comment>
    <comment ref="C108" authorId="0" shapeId="0" xr:uid="{00000000-0006-0000-0100-00006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algorithm or technique used to compute the checksum (checksum_filename, checksum_filename2) for verifying data integrity. Examples include MD5, SHA-256, and CRC-32.
</t>
        </r>
        <r>
          <rPr>
            <b/>
            <sz val="11"/>
            <color rgb="FF000000"/>
            <rFont val="Calibri"/>
            <family val="2"/>
          </rPr>
          <t xml:space="preserve">Example : </t>
        </r>
        <r>
          <rPr>
            <sz val="11"/>
            <color rgb="FF000000"/>
            <rFont val="Calibri"/>
            <family val="2"/>
          </rPr>
          <t xml:space="preserve">MD5
</t>
        </r>
        <r>
          <rPr>
            <b/>
            <sz val="11"/>
            <color rgb="FF000000"/>
            <rFont val="Calibri"/>
            <family val="2"/>
          </rPr>
          <t xml:space="preserve">Field type : </t>
        </r>
        <r>
          <rPr>
            <sz val="11"/>
            <color rgb="FFFF0000"/>
            <rFont val="Calibri"/>
            <family val="2"/>
          </rPr>
          <t xml:space="preserve">controlled vocabulary (MD5 | SHA-256 | CRC-32 | other:)
</t>
        </r>
      </text>
    </comment>
    <comment ref="C109" authorId="0" shapeId="0" xr:uid="{00000000-0006-0000-0100-00006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library preparation and sequencing method, that has not been shared in the given record.
</t>
        </r>
        <r>
          <rPr>
            <b/>
            <sz val="11"/>
            <color rgb="FF000000"/>
            <rFont val="Calibri"/>
            <family val="2"/>
          </rPr>
          <t xml:space="preserve">Example : </t>
        </r>
        <r>
          <rPr>
            <sz val="11"/>
            <color rgb="FF000000"/>
            <rFont val="Calibri"/>
            <family val="2"/>
          </rPr>
          <t xml:space="preserve">PhiX was spiked in at 15%
</t>
        </r>
        <r>
          <rPr>
            <b/>
            <sz val="11"/>
            <color rgb="FF000000"/>
            <rFont val="Calibri"/>
            <family val="2"/>
          </rPr>
          <t xml:space="preserve">Field type : </t>
        </r>
        <r>
          <rPr>
            <sz val="11"/>
            <color rgb="FF000000"/>
            <rFont val="Calibri"/>
            <family val="2"/>
          </rPr>
          <t xml:space="preserve">free text
</t>
        </r>
      </text>
    </comment>
    <comment ref="C110" authorId="0" shapeId="0" xr:uid="{00000000-0006-0000-0100-00006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Standard operating procedures, references, link to scripts, that were used in quality filtering, assembly and/or annotation of genomes, metagenomes or environmental sequences
</t>
        </r>
        <r>
          <rPr>
            <b/>
            <sz val="11"/>
            <color rgb="FF000000"/>
            <rFont val="Calibri"/>
            <family val="2"/>
          </rPr>
          <t xml:space="preserve">Example : </t>
        </r>
        <r>
          <rPr>
            <sz val="11"/>
            <color rgb="FF000000"/>
            <rFont val="Calibri"/>
            <family val="2"/>
          </rPr>
          <t xml:space="preserve">https://github.com/mahsa-mousavi/eDNAFlow
</t>
        </r>
        <r>
          <rPr>
            <b/>
            <sz val="11"/>
            <color rgb="FF000000"/>
            <rFont val="Calibri"/>
            <family val="2"/>
          </rPr>
          <t xml:space="preserve">Field type : </t>
        </r>
        <r>
          <rPr>
            <sz val="11"/>
            <color rgb="FF000000"/>
            <rFont val="Calibri"/>
            <family val="2"/>
          </rPr>
          <t xml:space="preserve">free text
</t>
        </r>
      </text>
    </comment>
    <comment ref="C111" authorId="0" shapeId="0" xr:uid="{00000000-0006-0000-0100-00006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for trimming primer and/or adapter sequences, including version and parameters
</t>
        </r>
        <r>
          <rPr>
            <b/>
            <sz val="11"/>
            <color rgb="FF000000"/>
            <rFont val="Calibri"/>
            <family val="2"/>
          </rPr>
          <t xml:space="preserve">Example : </t>
        </r>
        <r>
          <rPr>
            <sz val="11"/>
            <color rgb="FF000000"/>
            <rFont val="Calibri"/>
            <family val="2"/>
          </rPr>
          <t xml:space="preserve">cutadapt v4.9
</t>
        </r>
        <r>
          <rPr>
            <b/>
            <sz val="11"/>
            <color rgb="FF000000"/>
            <rFont val="Calibri"/>
            <family val="2"/>
          </rPr>
          <t xml:space="preserve">Field type : </t>
        </r>
        <r>
          <rPr>
            <sz val="11"/>
            <color rgb="FF000000"/>
            <rFont val="Calibri"/>
            <family val="2"/>
          </rPr>
          <t xml:space="preserve">free text
</t>
        </r>
      </text>
    </comment>
    <comment ref="C112" authorId="0" shapeId="0" xr:uid="{00000000-0006-0000-0100-00006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Parameters and cutoffs used to trim if not default
</t>
        </r>
        <r>
          <rPr>
            <b/>
            <sz val="11"/>
            <color rgb="FF000000"/>
            <rFont val="Calibri"/>
            <family val="2"/>
          </rPr>
          <t xml:space="preserve">Example : </t>
        </r>
        <r>
          <rPr>
            <sz val="11"/>
            <color rgb="FF000000"/>
            <rFont val="Calibri"/>
            <family val="2"/>
          </rPr>
          <t xml:space="preserve">ADAPTER;min_overlap=5
</t>
        </r>
        <r>
          <rPr>
            <b/>
            <sz val="11"/>
            <color rgb="FF000000"/>
            <rFont val="Calibri"/>
            <family val="2"/>
          </rPr>
          <t xml:space="preserve">Field type : </t>
        </r>
        <r>
          <rPr>
            <sz val="11"/>
            <color rgb="FF000000"/>
            <rFont val="Calibri"/>
            <family val="2"/>
          </rPr>
          <t xml:space="preserve">free text
</t>
        </r>
      </text>
    </comment>
    <comment ref="C113" authorId="0" shapeId="0" xr:uid="{00000000-0006-0000-0100-00007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used to demultiplex sequence reads
</t>
        </r>
        <r>
          <rPr>
            <b/>
            <sz val="11"/>
            <color rgb="FF000000"/>
            <rFont val="Calibri"/>
            <family val="2"/>
          </rPr>
          <t xml:space="preserve">Example : </t>
        </r>
        <r>
          <rPr>
            <sz val="11"/>
            <color rgb="FF000000"/>
            <rFont val="Calibri"/>
            <family val="2"/>
          </rPr>
          <t xml:space="preserve">DADA2 1.26
</t>
        </r>
        <r>
          <rPr>
            <b/>
            <sz val="11"/>
            <color rgb="FF000000"/>
            <rFont val="Calibri"/>
            <family val="2"/>
          </rPr>
          <t xml:space="preserve">Field type : </t>
        </r>
        <r>
          <rPr>
            <sz val="11"/>
            <color rgb="FF000000"/>
            <rFont val="Calibri"/>
            <family val="2"/>
          </rPr>
          <t xml:space="preserve">free text
</t>
        </r>
      </text>
    </comment>
    <comment ref="C114" authorId="0" shapeId="0" xr:uid="{00000000-0006-0000-0100-00007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Maximum mismatch allowed at the index bases for demultiplexing. Unit = base pair
</t>
        </r>
        <r>
          <rPr>
            <b/>
            <sz val="11"/>
            <color rgb="FF000000"/>
            <rFont val="Calibri"/>
            <family val="2"/>
          </rPr>
          <t xml:space="preserve">Example : </t>
        </r>
        <r>
          <rPr>
            <sz val="11"/>
            <color rgb="FF000000"/>
            <rFont val="Calibri"/>
            <family val="2"/>
          </rPr>
          <t xml:space="preserve">0
</t>
        </r>
        <r>
          <rPr>
            <b/>
            <sz val="11"/>
            <color rgb="FF000000"/>
            <rFont val="Calibri"/>
            <family val="2"/>
          </rPr>
          <t xml:space="preserve">Field type : </t>
        </r>
        <r>
          <rPr>
            <sz val="11"/>
            <color rgb="FF000000"/>
            <rFont val="Calibri"/>
            <family val="2"/>
          </rPr>
          <t xml:space="preserve">integer
</t>
        </r>
      </text>
    </comment>
    <comment ref="C115" authorId="0" shapeId="0" xr:uid="{00000000-0006-0000-0100-00007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merge paired end reads
</t>
        </r>
        <r>
          <rPr>
            <b/>
            <sz val="11"/>
            <color rgb="FF000000"/>
            <rFont val="Calibri"/>
            <family val="2"/>
          </rPr>
          <t xml:space="preserve">Example : </t>
        </r>
        <r>
          <rPr>
            <sz val="11"/>
            <color rgb="FF000000"/>
            <rFont val="Calibri"/>
            <family val="2"/>
          </rPr>
          <t xml:space="preserve">AdapterRemoval 2.3.3
</t>
        </r>
        <r>
          <rPr>
            <b/>
            <sz val="11"/>
            <color rgb="FF000000"/>
            <rFont val="Calibri"/>
            <family val="2"/>
          </rPr>
          <t xml:space="preserve">Field type : </t>
        </r>
        <r>
          <rPr>
            <sz val="11"/>
            <color rgb="FF000000"/>
            <rFont val="Calibri"/>
            <family val="2"/>
          </rPr>
          <t xml:space="preserve">free text
</t>
        </r>
      </text>
    </comment>
    <comment ref="C116" authorId="0" shapeId="0" xr:uid="{00000000-0006-0000-0100-00007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overlaps required to merge paired end reads. Unit = base pair
</t>
        </r>
        <r>
          <rPr>
            <b/>
            <sz val="11"/>
            <color rgb="FF000000"/>
            <rFont val="Calibri"/>
            <family val="2"/>
          </rPr>
          <t xml:space="preserve">Example : </t>
        </r>
        <r>
          <rPr>
            <sz val="11"/>
            <color rgb="FF000000"/>
            <rFont val="Calibri"/>
            <family val="2"/>
          </rPr>
          <t xml:space="preserve">12
</t>
        </r>
        <r>
          <rPr>
            <b/>
            <sz val="11"/>
            <color rgb="FF000000"/>
            <rFont val="Calibri"/>
            <family val="2"/>
          </rPr>
          <t xml:space="preserve">Field type : </t>
        </r>
        <r>
          <rPr>
            <sz val="11"/>
            <color rgb="FF000000"/>
            <rFont val="Calibri"/>
            <family val="2"/>
          </rPr>
          <t xml:space="preserve">integer
</t>
        </r>
      </text>
    </comment>
    <comment ref="C117" authorId="0" shapeId="0" xr:uid="{00000000-0006-0000-0100-00007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length threshold. Unit = base pair
</t>
        </r>
        <r>
          <rPr>
            <b/>
            <sz val="11"/>
            <color rgb="FF000000"/>
            <rFont val="Calibri"/>
            <family val="2"/>
          </rPr>
          <t xml:space="preserve">Example : </t>
        </r>
        <r>
          <rPr>
            <sz val="11"/>
            <color rgb="FF000000"/>
            <rFont val="Calibri"/>
            <family val="2"/>
          </rPr>
          <t xml:space="preserve">120
</t>
        </r>
        <r>
          <rPr>
            <b/>
            <sz val="11"/>
            <color rgb="FF000000"/>
            <rFont val="Calibri"/>
            <family val="2"/>
          </rPr>
          <t xml:space="preserve">Field type : </t>
        </r>
        <r>
          <rPr>
            <sz val="11"/>
            <color rgb="FF000000"/>
            <rFont val="Calibri"/>
            <family val="2"/>
          </rPr>
          <t xml:space="preserve">integer
</t>
        </r>
      </text>
    </comment>
    <comment ref="C118" authorId="0" shapeId="0" xr:uid="{00000000-0006-0000-0100-00007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remove reads shorter than minimum length threshold
</t>
        </r>
        <r>
          <rPr>
            <b/>
            <sz val="11"/>
            <color rgb="FF000000"/>
            <rFont val="Calibri"/>
            <family val="2"/>
          </rPr>
          <t xml:space="preserve">Example : </t>
        </r>
        <r>
          <rPr>
            <sz val="11"/>
            <color rgb="FF000000"/>
            <rFont val="Calibri"/>
            <family val="2"/>
          </rPr>
          <t xml:space="preserve">OBITools3
</t>
        </r>
        <r>
          <rPr>
            <b/>
            <sz val="11"/>
            <color rgb="FF000000"/>
            <rFont val="Calibri"/>
            <family val="2"/>
          </rPr>
          <t xml:space="preserve">Field type : </t>
        </r>
        <r>
          <rPr>
            <sz val="11"/>
            <color rgb="FF000000"/>
            <rFont val="Calibri"/>
            <family val="2"/>
          </rPr>
          <t xml:space="preserve">free text
</t>
        </r>
      </text>
    </comment>
    <comment ref="C119" authorId="0" shapeId="0" xr:uid="{00000000-0006-0000-0100-00007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to remove reads above error rate threshold
</t>
        </r>
        <r>
          <rPr>
            <b/>
            <sz val="11"/>
            <color rgb="FF000000"/>
            <rFont val="Calibri"/>
            <family val="2"/>
          </rPr>
          <t xml:space="preserve">Example : </t>
        </r>
        <r>
          <rPr>
            <sz val="11"/>
            <color rgb="FF000000"/>
            <rFont val="Calibri"/>
            <family val="2"/>
          </rPr>
          <t xml:space="preserve">FASTQC v0.12.1
</t>
        </r>
        <r>
          <rPr>
            <b/>
            <sz val="11"/>
            <color rgb="FF000000"/>
            <rFont val="Calibri"/>
            <family val="2"/>
          </rPr>
          <t xml:space="preserve">Field type : </t>
        </r>
        <r>
          <rPr>
            <sz val="11"/>
            <color rgb="FF000000"/>
            <rFont val="Calibri"/>
            <family val="2"/>
          </rPr>
          <t xml:space="preserve">free text
</t>
        </r>
      </text>
    </comment>
    <comment ref="C120" authorId="0" shapeId="0" xr:uid="{00000000-0006-0000-0100-00007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type/unit of error rate for the error rate threshold
</t>
        </r>
        <r>
          <rPr>
            <b/>
            <sz val="11"/>
            <color rgb="FF000000"/>
            <rFont val="Calibri"/>
            <family val="2"/>
          </rPr>
          <t xml:space="preserve">Example : </t>
        </r>
        <r>
          <rPr>
            <sz val="11"/>
            <color rgb="FF000000"/>
            <rFont val="Calibri"/>
            <family val="2"/>
          </rPr>
          <t xml:space="preserve">Phred score
</t>
        </r>
        <r>
          <rPr>
            <b/>
            <sz val="11"/>
            <color rgb="FF000000"/>
            <rFont val="Calibri"/>
            <family val="2"/>
          </rPr>
          <t xml:space="preserve">Field type : </t>
        </r>
        <r>
          <rPr>
            <sz val="11"/>
            <color rgb="FFFF0000"/>
            <rFont val="Calibri"/>
            <family val="2"/>
          </rPr>
          <t xml:space="preserve">controlled vocabulary (Phred score | expected error rate | other:)
</t>
        </r>
      </text>
    </comment>
    <comment ref="C121" authorId="0" shapeId="0" xr:uid="{00000000-0006-0000-0100-00007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error rate threshold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text>
    </comment>
    <comment ref="C122" authorId="0" shapeId="0" xr:uid="{00000000-0006-0000-0100-00007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chimera check approaches (i.e. denovo, reference-based), including software and the version used
</t>
        </r>
        <r>
          <rPr>
            <b/>
            <sz val="11"/>
            <color rgb="FF000000"/>
            <rFont val="Calibri"/>
            <family val="2"/>
          </rPr>
          <t xml:space="preserve">Example : </t>
        </r>
        <r>
          <rPr>
            <sz val="11"/>
            <color rgb="FF000000"/>
            <rFont val="Calibri"/>
            <family val="2"/>
          </rPr>
          <t xml:space="preserve">denovo, uchime v4.1
</t>
        </r>
        <r>
          <rPr>
            <b/>
            <sz val="11"/>
            <color rgb="FF000000"/>
            <rFont val="Calibri"/>
            <family val="2"/>
          </rPr>
          <t xml:space="preserve">Field type : </t>
        </r>
        <r>
          <rPr>
            <sz val="11"/>
            <color rgb="FF000000"/>
            <rFont val="Calibri"/>
            <family val="2"/>
          </rPr>
          <t xml:space="preserve">free text
</t>
        </r>
      </text>
    </comment>
    <comment ref="C123" authorId="0" shapeId="0" xr:uid="{00000000-0006-0000-0100-00007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Parameters used to filter chimera sequences if note default
</t>
        </r>
        <r>
          <rPr>
            <b/>
            <sz val="11"/>
            <color rgb="FF000000"/>
            <rFont val="Calibri"/>
            <family val="2"/>
          </rPr>
          <t xml:space="preserve">Example : </t>
        </r>
        <r>
          <rPr>
            <sz val="11"/>
            <color rgb="FF000000"/>
            <rFont val="Calibri"/>
            <family val="2"/>
          </rPr>
          <t xml:space="preserve">β parameter &gt;=1
</t>
        </r>
        <r>
          <rPr>
            <b/>
            <sz val="11"/>
            <color rgb="FF000000"/>
            <rFont val="Calibri"/>
            <family val="2"/>
          </rPr>
          <t xml:space="preserve">Field type : </t>
        </r>
        <r>
          <rPr>
            <sz val="11"/>
            <color rgb="FF000000"/>
            <rFont val="Calibri"/>
            <family val="2"/>
          </rPr>
          <t xml:space="preserve">free text
</t>
        </r>
      </text>
    </comment>
    <comment ref="C124" authorId="0" shapeId="0" xr:uid="{00000000-0006-0000-0100-00007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used for OTU/ASV clustering
</t>
        </r>
        <r>
          <rPr>
            <b/>
            <sz val="11"/>
            <color rgb="FF000000"/>
            <rFont val="Calibri"/>
            <family val="2"/>
          </rPr>
          <t xml:space="preserve">Example : </t>
        </r>
        <r>
          <rPr>
            <sz val="11"/>
            <color rgb="FF000000"/>
            <rFont val="Calibri"/>
            <family val="2"/>
          </rPr>
          <t xml:space="preserve">q2-dada2 2019.1.0
</t>
        </r>
        <r>
          <rPr>
            <b/>
            <sz val="11"/>
            <color rgb="FF000000"/>
            <rFont val="Calibri"/>
            <family val="2"/>
          </rPr>
          <t xml:space="preserve">Field type : </t>
        </r>
        <r>
          <rPr>
            <sz val="11"/>
            <color rgb="FF000000"/>
            <rFont val="Calibri"/>
            <family val="2"/>
          </rPr>
          <t xml:space="preserve">free text
</t>
        </r>
      </text>
    </comment>
    <comment ref="C125" authorId="0" shapeId="0" xr:uid="{00000000-0006-0000-0100-00007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similarity threshold used for OTU/ASV clustering. For ASV clustering, the cutoff is typically 100% similarity. Unit = %
</t>
        </r>
        <r>
          <rPr>
            <b/>
            <sz val="11"/>
            <color rgb="FF000000"/>
            <rFont val="Calibri"/>
            <family val="2"/>
          </rPr>
          <t xml:space="preserve">Example : </t>
        </r>
        <r>
          <rPr>
            <sz val="11"/>
            <color rgb="FF000000"/>
            <rFont val="Calibri"/>
            <family val="2"/>
          </rPr>
          <t xml:space="preserve">97.0
</t>
        </r>
        <r>
          <rPr>
            <b/>
            <sz val="11"/>
            <color rgb="FF000000"/>
            <rFont val="Calibri"/>
            <family val="2"/>
          </rPr>
          <t xml:space="preserve">Field type : </t>
        </r>
        <r>
          <rPr>
            <sz val="11"/>
            <color rgb="FF000000"/>
            <rFont val="Calibri"/>
            <family val="2"/>
          </rPr>
          <t xml:space="preserve">numeric
</t>
        </r>
      </text>
    </comment>
    <comment ref="C126" authorId="0" shapeId="0" xr:uid="{00000000-0006-0000-0100-00007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read counts thresholds. e.g., 10 reads, 5% relative read abundance, noise (e.g., (relative) read counts) detected in blanks. Answer either numeric value with the unit specified under the terms min_reads_cutoff_unit, "noise detected in blanks", or "other: FREE TEXT DESCRIPTION".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or controlled vocabulary
</t>
        </r>
      </text>
    </comment>
    <comment ref="C127" authorId="0" shapeId="0" xr:uid="{00000000-0006-0000-0100-00007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unit of the min_reads_cutoff. i.e. reads, % relative read abundance
</t>
        </r>
        <r>
          <rPr>
            <b/>
            <sz val="11"/>
            <color rgb="FF000000"/>
            <rFont val="Calibri"/>
            <family val="2"/>
          </rPr>
          <t xml:space="preserve">Example : </t>
        </r>
        <r>
          <rPr>
            <sz val="11"/>
            <color rgb="FF000000"/>
            <rFont val="Calibri"/>
            <family val="2"/>
          </rPr>
          <t xml:space="preserve">%
</t>
        </r>
        <r>
          <rPr>
            <b/>
            <sz val="11"/>
            <color rgb="FF000000"/>
            <rFont val="Calibri"/>
            <family val="2"/>
          </rPr>
          <t xml:space="preserve">Field type : </t>
        </r>
        <r>
          <rPr>
            <sz val="11"/>
            <color rgb="FFFF0000"/>
            <rFont val="Calibri"/>
            <family val="2"/>
          </rPr>
          <t xml:space="preserve">controlled vocabulary (reads | % | other:)
</t>
        </r>
      </text>
    </comment>
    <comment ref="C128" authorId="0" shapeId="0" xr:uid="{00000000-0006-0000-0100-00007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Software and the version to remove reads below minimum read threshold
</t>
        </r>
        <r>
          <rPr>
            <b/>
            <sz val="11"/>
            <color rgb="FF000000"/>
            <rFont val="Calibri"/>
            <family val="2"/>
          </rPr>
          <t xml:space="preserve">Example : </t>
        </r>
        <r>
          <rPr>
            <sz val="11"/>
            <color rgb="FF000000"/>
            <rFont val="Calibri"/>
            <family val="2"/>
          </rPr>
          <t xml:space="preserve">DADA2 1.26
</t>
        </r>
        <r>
          <rPr>
            <b/>
            <sz val="11"/>
            <color rgb="FF000000"/>
            <rFont val="Calibri"/>
            <family val="2"/>
          </rPr>
          <t xml:space="preserve">Field type : </t>
        </r>
        <r>
          <rPr>
            <sz val="11"/>
            <color rgb="FF000000"/>
            <rFont val="Calibri"/>
            <family val="2"/>
          </rPr>
          <t xml:space="preserve">free text
</t>
        </r>
      </text>
    </comment>
    <comment ref="C129" authorId="0" shapeId="0" xr:uid="{00000000-0006-0000-0100-00008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List of reference database(s) (i.e. sequences not generated as part of the current study) along with version number, that were used to assign taxonomy to OTUs or ASVs. If custom database was used, enter 'custom' here, and provide the information of the database under the term otu_db_custom
</t>
        </r>
        <r>
          <rPr>
            <b/>
            <sz val="11"/>
            <color rgb="FF000000"/>
            <rFont val="Calibri"/>
            <family val="2"/>
          </rPr>
          <t xml:space="preserve">Example : </t>
        </r>
        <r>
          <rPr>
            <sz val="11"/>
            <color rgb="FF000000"/>
            <rFont val="Calibri"/>
            <family val="2"/>
          </rPr>
          <t xml:space="preserve">NCBI GenBank Release 260.0 | custom
</t>
        </r>
        <r>
          <rPr>
            <b/>
            <sz val="11"/>
            <color rgb="FF000000"/>
            <rFont val="Calibri"/>
            <family val="2"/>
          </rPr>
          <t xml:space="preserve">Field type : </t>
        </r>
        <r>
          <rPr>
            <sz val="11"/>
            <color rgb="FF000000"/>
            <rFont val="Calibri"/>
            <family val="2"/>
          </rPr>
          <t xml:space="preserve">free text
</t>
        </r>
      </text>
    </comment>
    <comment ref="C130" authorId="0" shapeId="0" xr:uid="{00000000-0006-0000-0100-00008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custom reference database(s) (i.e. coverage of taxa, region) if applied to assign taxonomy to OTUs or ASVs
</t>
        </r>
        <r>
          <rPr>
            <b/>
            <sz val="11"/>
            <color rgb="FF000000"/>
            <rFont val="Calibri"/>
            <family val="2"/>
          </rPr>
          <t xml:space="preserve">Example : </t>
        </r>
        <r>
          <rPr>
            <sz val="11"/>
            <color rgb="FF000000"/>
            <rFont val="Calibri"/>
            <family val="2"/>
          </rPr>
          <t xml:space="preserve">Unpublished custom database, containing COI sequences of 209 fish species collected from Western Australia (study area)
</t>
        </r>
        <r>
          <rPr>
            <b/>
            <sz val="11"/>
            <color rgb="FF000000"/>
            <rFont val="Calibri"/>
            <family val="2"/>
          </rPr>
          <t xml:space="preserve">Field type : </t>
        </r>
        <r>
          <rPr>
            <sz val="11"/>
            <color rgb="FF000000"/>
            <rFont val="Calibri"/>
            <family val="2"/>
          </rPr>
          <t xml:space="preserve">free text
</t>
        </r>
      </text>
    </comment>
    <comment ref="C131" authorId="0" shapeId="0" xr:uid="{00000000-0006-0000-0100-000082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High-level category of taxonomic assignment approach. Examples using sequence similarity: BLAST/MegaBLAST, USEARCH/VSEARCH. Examples using sequence composition: naive Bayes classifier, CLARK, Kraken. Examples using phylogeny: SEPP, EPA-ng, pplacer. Examples using probabilistic: PROTAX, TIPP.
</t>
        </r>
        <r>
          <rPr>
            <b/>
            <sz val="11"/>
            <color rgb="FF000000"/>
            <rFont val="Calibri"/>
            <family val="2"/>
          </rPr>
          <t xml:space="preserve">Example : </t>
        </r>
        <r>
          <rPr>
            <sz val="11"/>
            <color rgb="FF000000"/>
            <rFont val="Calibri"/>
            <family val="2"/>
          </rPr>
          <t xml:space="preserve">sequence similarity
</t>
        </r>
        <r>
          <rPr>
            <b/>
            <sz val="11"/>
            <color rgb="FF000000"/>
            <rFont val="Calibri"/>
            <family val="2"/>
          </rPr>
          <t xml:space="preserve">Field type : </t>
        </r>
        <r>
          <rPr>
            <sz val="11"/>
            <color rgb="FFFF0000"/>
            <rFont val="Calibri"/>
            <family val="2"/>
          </rPr>
          <t xml:space="preserve">controlled vocabulary (sequence similarity | sequence composition | phylogeny | probabilistic | other:)
</t>
        </r>
      </text>
    </comment>
    <comment ref="C132" authorId="0" shapeId="0" xr:uid="{00000000-0006-0000-0100-000083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Alignment tool/software used for taxonomic assignment
</t>
        </r>
        <r>
          <rPr>
            <b/>
            <sz val="11"/>
            <color rgb="FF000000"/>
            <rFont val="Calibri"/>
            <family val="2"/>
          </rPr>
          <t xml:space="preserve">Example : </t>
        </r>
        <r>
          <rPr>
            <sz val="11"/>
            <color rgb="FF000000"/>
            <rFont val="Calibri"/>
            <family val="2"/>
          </rPr>
          <t xml:space="preserve">blastn;2.6.0+
</t>
        </r>
        <r>
          <rPr>
            <b/>
            <sz val="11"/>
            <color rgb="FF000000"/>
            <rFont val="Calibri"/>
            <family val="2"/>
          </rPr>
          <t xml:space="preserve">Field type : </t>
        </r>
        <r>
          <rPr>
            <sz val="11"/>
            <color rgb="FF000000"/>
            <rFont val="Calibri"/>
            <family val="2"/>
          </rPr>
          <t xml:space="preserve">free text
</t>
        </r>
      </text>
    </comment>
    <comment ref="C133" authorId="0" shapeId="0" xr:uid="{00000000-0006-0000-0100-00008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percent identity for taxonomic assignment. Unit = %
</t>
        </r>
        <r>
          <rPr>
            <b/>
            <sz val="11"/>
            <color rgb="FF000000"/>
            <rFont val="Calibri"/>
            <family val="2"/>
          </rPr>
          <t xml:space="preserve">Example : </t>
        </r>
        <r>
          <rPr>
            <sz val="11"/>
            <color rgb="FF000000"/>
            <rFont val="Calibri"/>
            <family val="2"/>
          </rPr>
          <t xml:space="preserve">90.0
</t>
        </r>
        <r>
          <rPr>
            <b/>
            <sz val="11"/>
            <color rgb="FF000000"/>
            <rFont val="Calibri"/>
            <family val="2"/>
          </rPr>
          <t xml:space="preserve">Field type : </t>
        </r>
        <r>
          <rPr>
            <sz val="11"/>
            <color rgb="FF000000"/>
            <rFont val="Calibri"/>
            <family val="2"/>
          </rPr>
          <t xml:space="preserve">numeric
</t>
        </r>
      </text>
    </comment>
    <comment ref="C134" authorId="0" shapeId="0" xr:uid="{00000000-0006-0000-0100-00008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Minimum percent query coverage for taxonomic assignment. Unit = %
</t>
        </r>
        <r>
          <rPr>
            <b/>
            <sz val="11"/>
            <color rgb="FF000000"/>
            <rFont val="Calibri"/>
            <family val="2"/>
          </rPr>
          <t xml:space="preserve">Example : </t>
        </r>
        <r>
          <rPr>
            <sz val="11"/>
            <color rgb="FF000000"/>
            <rFont val="Calibri"/>
            <family val="2"/>
          </rPr>
          <t xml:space="preserve">98.0
</t>
        </r>
        <r>
          <rPr>
            <b/>
            <sz val="11"/>
            <color rgb="FF000000"/>
            <rFont val="Calibri"/>
            <family val="2"/>
          </rPr>
          <t xml:space="preserve">Field type : </t>
        </r>
        <r>
          <rPr>
            <sz val="11"/>
            <color rgb="FF000000"/>
            <rFont val="Calibri"/>
            <family val="2"/>
          </rPr>
          <t xml:space="preserve">numeric
</t>
        </r>
      </text>
    </comment>
    <comment ref="C135" authorId="0" shapeId="0" xr:uid="{00000000-0006-0000-0100-00008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How was the taxa collapsed to higher taxonomic levels? i.e. lowest common ancestor
</t>
        </r>
        <r>
          <rPr>
            <b/>
            <sz val="11"/>
            <color rgb="FF000000"/>
            <rFont val="Calibri"/>
            <family val="2"/>
          </rPr>
          <t xml:space="preserve">Example : </t>
        </r>
        <r>
          <rPr>
            <sz val="11"/>
            <color rgb="FF000000"/>
            <rFont val="Calibri"/>
            <family val="2"/>
          </rPr>
          <t xml:space="preserve">Taxonomic levels were dropped to the lowest common ancestor (LCA) with the similarity thresholds of 99%, and also based on % identify thresholds (&gt;98% species, 95-98% genus, 90-95% family).
</t>
        </r>
        <r>
          <rPr>
            <b/>
            <sz val="11"/>
            <color rgb="FF000000"/>
            <rFont val="Calibri"/>
            <family val="2"/>
          </rPr>
          <t xml:space="preserve">Field type : </t>
        </r>
        <r>
          <rPr>
            <sz val="11"/>
            <color rgb="FF000000"/>
            <rFont val="Calibri"/>
            <family val="2"/>
          </rPr>
          <t xml:space="preserve">free text
</t>
        </r>
      </text>
    </comment>
    <comment ref="C136" authorId="0" shapeId="0" xr:uid="{00000000-0006-0000-0100-00008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Additional information on parameters and cutoffs used for taxonomic assignment, that have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137" authorId="0" shapeId="0" xr:uid="{00000000-0006-0000-0100-000088000000}">
      <text>
        <r>
          <rPr>
            <b/>
            <sz val="11"/>
            <color rgb="FF000000"/>
            <rFont val="Calibri"/>
            <family val="2"/>
          </rPr>
          <t xml:space="preserve">Requirement level : </t>
        </r>
        <r>
          <rPr>
            <sz val="11"/>
            <color rgb="FF000000"/>
            <rFont val="Calibri"/>
            <family val="2"/>
          </rPr>
          <t xml:space="preserve">Highly recommended (if screen_contam_0_1 is 1)
</t>
        </r>
        <r>
          <rPr>
            <b/>
            <sz val="11"/>
            <color rgb="FF000000"/>
            <rFont val="Calibri"/>
            <family val="2"/>
          </rPr>
          <t xml:space="preserve">Description : </t>
        </r>
        <r>
          <rPr>
            <sz val="11"/>
            <color rgb="FF000000"/>
            <rFont val="Calibri"/>
            <family val="2"/>
          </rPr>
          <t xml:space="preserve">How were contaminations screened and applied in data curation/analyses/interpretation?
</t>
        </r>
        <r>
          <rPr>
            <b/>
            <sz val="11"/>
            <color rgb="FF000000"/>
            <rFont val="Calibri"/>
            <family val="2"/>
          </rPr>
          <t xml:space="preserve">Example : </t>
        </r>
        <r>
          <rPr>
            <sz val="11"/>
            <color rgb="FF000000"/>
            <rFont val="Calibri"/>
            <family val="2"/>
          </rPr>
          <t xml:space="preserve">Taxa detected in negative controls were checked, and the read counts were applied as a cutoff to call presence.
</t>
        </r>
        <r>
          <rPr>
            <b/>
            <sz val="11"/>
            <color rgb="FF000000"/>
            <rFont val="Calibri"/>
            <family val="2"/>
          </rPr>
          <t xml:space="preserve">Field type : </t>
        </r>
        <r>
          <rPr>
            <sz val="11"/>
            <color rgb="FF000000"/>
            <rFont val="Calibri"/>
            <family val="2"/>
          </rPr>
          <t xml:space="preserve">free text
</t>
        </r>
      </text>
    </comment>
    <comment ref="C138" authorId="0" shapeId="0" xr:uid="{00000000-0006-0000-0100-000089000000}">
      <text>
        <r>
          <rPr>
            <b/>
            <sz val="11"/>
            <color rgb="FF000000"/>
            <rFont val="Calibri"/>
            <family val="2"/>
          </rPr>
          <t xml:space="preserve">Requirement level : </t>
        </r>
        <r>
          <rPr>
            <sz val="11"/>
            <color rgb="FF000000"/>
            <rFont val="Calibri"/>
            <family val="2"/>
          </rPr>
          <t xml:space="preserve">Recommended (if screen_geograph_0_1 is 1)
</t>
        </r>
        <r>
          <rPr>
            <b/>
            <sz val="11"/>
            <color rgb="FF000000"/>
            <rFont val="Calibri"/>
            <family val="2"/>
          </rPr>
          <t xml:space="preserve">Description : </t>
        </r>
        <r>
          <rPr>
            <sz val="11"/>
            <color rgb="FF000000"/>
            <rFont val="Calibri"/>
            <family val="2"/>
          </rPr>
          <t xml:space="preserve">How were species distribution information screened and applied?
</t>
        </r>
        <r>
          <rPr>
            <b/>
            <sz val="11"/>
            <color rgb="FF000000"/>
            <rFont val="Calibri"/>
            <family val="2"/>
          </rPr>
          <t xml:space="preserve">Example : </t>
        </r>
        <r>
          <rPr>
            <sz val="11"/>
            <color rgb="FF000000"/>
            <rFont val="Calibri"/>
            <family val="2"/>
          </rPr>
          <t xml:space="preserve">Distribution information was checked using FishBase, and species that did not reside in the study area were removed.
</t>
        </r>
        <r>
          <rPr>
            <b/>
            <sz val="11"/>
            <color rgb="FF000000"/>
            <rFont val="Calibri"/>
            <family val="2"/>
          </rPr>
          <t xml:space="preserve">Field type : </t>
        </r>
        <r>
          <rPr>
            <sz val="11"/>
            <color rgb="FF000000"/>
            <rFont val="Calibri"/>
            <family val="2"/>
          </rPr>
          <t xml:space="preserve">free text
</t>
        </r>
      </text>
    </comment>
    <comment ref="C139" authorId="0" shapeId="0" xr:uid="{00000000-0006-0000-0100-00008A000000}">
      <text>
        <r>
          <rPr>
            <b/>
            <sz val="11"/>
            <color rgb="FF000000"/>
            <rFont val="Calibri"/>
            <family val="2"/>
          </rPr>
          <t xml:space="preserve">Requirement level : </t>
        </r>
        <r>
          <rPr>
            <sz val="11"/>
            <color rgb="FF000000"/>
            <rFont val="Calibri"/>
            <family val="2"/>
          </rPr>
          <t xml:space="preserve">Recommended (if screen_nontarget_0_1 is 1)
</t>
        </r>
        <r>
          <rPr>
            <b/>
            <sz val="11"/>
            <color rgb="FF000000"/>
            <rFont val="Calibri"/>
            <family val="2"/>
          </rPr>
          <t xml:space="preserve">Description : </t>
        </r>
        <r>
          <rPr>
            <sz val="11"/>
            <color rgb="FF000000"/>
            <rFont val="Calibri"/>
            <family val="2"/>
          </rPr>
          <t xml:space="preserve">How were non-target species screened and applied?
</t>
        </r>
        <r>
          <rPr>
            <b/>
            <sz val="11"/>
            <color rgb="FF000000"/>
            <rFont val="Calibri"/>
            <family val="2"/>
          </rPr>
          <t xml:space="preserve">Example : </t>
        </r>
        <r>
          <rPr>
            <sz val="11"/>
            <color rgb="FF000000"/>
            <rFont val="Calibri"/>
            <family val="2"/>
          </rPr>
          <t xml:space="preserve">Non-targeted species (i.e. domestic animals, humans and non-marine species) were removed from the curated OTU table and downstream data analyses. OTUs that were assigned to species in WoRMS were kept in the curated OTU table.
</t>
        </r>
        <r>
          <rPr>
            <b/>
            <sz val="11"/>
            <color rgb="FF000000"/>
            <rFont val="Calibri"/>
            <family val="2"/>
          </rPr>
          <t xml:space="preserve">Field type : </t>
        </r>
        <r>
          <rPr>
            <sz val="11"/>
            <color rgb="FF000000"/>
            <rFont val="Calibri"/>
            <family val="2"/>
          </rPr>
          <t xml:space="preserve">free text
</t>
        </r>
      </text>
    </comment>
    <comment ref="C140" authorId="0" shapeId="0" xr:uid="{00000000-0006-0000-0100-00008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other screening criteria and approaches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C141" authorId="0" shapeId="0" xr:uid="{00000000-0006-0000-0100-00008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description of the data curation and processing steps applied to the raw OTU/ASV table
</t>
        </r>
        <r>
          <rPr>
            <b/>
            <sz val="11"/>
            <color rgb="FF000000"/>
            <rFont val="Calibri"/>
            <family val="2"/>
          </rPr>
          <t xml:space="preserve">Example : </t>
        </r>
        <r>
          <rPr>
            <sz val="11"/>
            <color rgb="FF000000"/>
            <rFont val="Calibri"/>
            <family val="2"/>
          </rPr>
          <t xml:space="preserve">OTU clustering with 97% similarity
</t>
        </r>
        <r>
          <rPr>
            <b/>
            <sz val="11"/>
            <color rgb="FF000000"/>
            <rFont val="Calibri"/>
            <family val="2"/>
          </rPr>
          <t xml:space="preserve">Field type : </t>
        </r>
        <r>
          <rPr>
            <sz val="11"/>
            <color rgb="FF000000"/>
            <rFont val="Calibri"/>
            <family val="2"/>
          </rPr>
          <t xml:space="preserve">free text
</t>
        </r>
      </text>
    </comment>
    <comment ref="C142" authorId="0" shapeId="0" xr:uid="{00000000-0006-0000-0100-00008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description of the data curation and processing steps applied to the final OTU/ASV table
</t>
        </r>
        <r>
          <rPr>
            <b/>
            <sz val="11"/>
            <color rgb="FF000000"/>
            <rFont val="Calibri"/>
            <family val="2"/>
          </rPr>
          <t xml:space="preserve">Example : </t>
        </r>
        <r>
          <rPr>
            <sz val="11"/>
            <color rgb="FF000000"/>
            <rFont val="Calibri"/>
            <family val="2"/>
          </rPr>
          <t xml:space="preserve">Removal of ASVs that were assigned to non-targeted species. Removal of control samples.
</t>
        </r>
        <r>
          <rPr>
            <b/>
            <sz val="11"/>
            <color rgb="FF000000"/>
            <rFont val="Calibri"/>
            <family val="2"/>
          </rPr>
          <t xml:space="preserve">Field type : </t>
        </r>
        <r>
          <rPr>
            <sz val="11"/>
            <color rgb="FF000000"/>
            <rFont val="Calibri"/>
            <family val="2"/>
          </rPr>
          <t xml:space="preserve">free text
</t>
        </r>
      </text>
    </comment>
    <comment ref="C143" authorId="0" shapeId="0" xr:uid="{00000000-0006-0000-0100-00008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bioinformatics, that has not been shared in the given record.
</t>
        </r>
        <r>
          <rPr>
            <b/>
            <sz val="11"/>
            <color rgb="FF000000"/>
            <rFont val="Calibri"/>
            <family val="2"/>
          </rPr>
          <t xml:space="preserve">Example : </t>
        </r>
        <r>
          <rPr>
            <sz val="11"/>
            <color rgb="FF000000"/>
            <rFont val="Calibri"/>
            <family val="2"/>
          </rPr>
          <t xml:space="preserve">The min_reads_cutoff was 1 read, but singletons were kept if the same sequence was detected in multiple samples. Data was curated using r-package LULU, minimum_mismatch cutoff 90%
</t>
        </r>
        <r>
          <rPr>
            <b/>
            <sz val="11"/>
            <color rgb="FF000000"/>
            <rFont val="Calibri"/>
            <family val="2"/>
          </rPr>
          <t xml:space="preserve">Field type : </t>
        </r>
        <r>
          <rPr>
            <sz val="11"/>
            <color rgb="FF000000"/>
            <rFont val="Calibri"/>
            <family val="2"/>
          </rPr>
          <t xml:space="preserve">free text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3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type/category of a sample. 'Sample" includes biological and technical replicates. If negative or positive control was selected, provide further information under the terms fill neg_cont_type and pos_cont_type.
</t>
        </r>
        <r>
          <rPr>
            <b/>
            <sz val="11"/>
            <color rgb="FF000000"/>
            <rFont val="Calibri"/>
            <family val="2"/>
          </rPr>
          <t xml:space="preserve">Example : </t>
        </r>
        <r>
          <rPr>
            <sz val="11"/>
            <color rgb="FF000000"/>
            <rFont val="Calibri"/>
            <family val="2"/>
          </rPr>
          <t xml:space="preserve">sample
</t>
        </r>
        <r>
          <rPr>
            <b/>
            <sz val="11"/>
            <color rgb="FF000000"/>
            <rFont val="Calibri"/>
            <family val="2"/>
          </rPr>
          <t xml:space="preserve">Field type : </t>
        </r>
        <r>
          <rPr>
            <sz val="11"/>
            <color rgb="FFFF0000"/>
            <rFont val="Calibri"/>
            <family val="2"/>
          </rPr>
          <t xml:space="preserve">controlled vocabulary (sample | negative control | positive control | PCR standard | other:)
</t>
        </r>
      </text>
    </comment>
    <comment ref="C3" authorId="0" shapeId="0" xr:uid="{00000000-0006-0000-0300-000002000000}">
      <text>
        <r>
          <rPr>
            <b/>
            <sz val="11"/>
            <color rgb="FF000000"/>
            <rFont val="Calibri"/>
            <family val="2"/>
          </rPr>
          <t xml:space="preserve">Requirement level : </t>
        </r>
        <r>
          <rPr>
            <b/>
            <sz val="11"/>
            <color rgb="FFFF0000"/>
            <rFont val="Calibri"/>
            <family val="2"/>
          </rPr>
          <t xml:space="preserve">Mandatory (If samp_category = negative control)
</t>
        </r>
        <r>
          <rPr>
            <b/>
            <sz val="11"/>
            <color rgb="FF000000"/>
            <rFont val="Calibri"/>
            <family val="2"/>
          </rPr>
          <t xml:space="preserve">Description : </t>
        </r>
        <r>
          <rPr>
            <sz val="11"/>
            <color rgb="FF000000"/>
            <rFont val="Calibri"/>
            <family val="2"/>
          </rPr>
          <t xml:space="preserve">A negative control type used in an investigation. See Table 2 in Klymus et al. 2024 (DOI: 10.3897/mbmg.8.128689) for the description of each control type, how and why it's created. For example, process negative is a sample added during processing that lacks target DNA, such as blank filter papers.
</t>
        </r>
        <r>
          <rPr>
            <b/>
            <sz val="11"/>
            <color rgb="FF000000"/>
            <rFont val="Calibri"/>
            <family val="2"/>
          </rPr>
          <t xml:space="preserve">Example : </t>
        </r>
        <r>
          <rPr>
            <sz val="11"/>
            <color rgb="FF000000"/>
            <rFont val="Calibri"/>
            <family val="2"/>
          </rPr>
          <t xml:space="preserve">field negative | process negative | extraction negative | PCR negative
</t>
        </r>
        <r>
          <rPr>
            <b/>
            <sz val="11"/>
            <color rgb="FF000000"/>
            <rFont val="Calibri"/>
            <family val="2"/>
          </rPr>
          <t xml:space="preserve">Field type : </t>
        </r>
        <r>
          <rPr>
            <sz val="11"/>
            <color rgb="FFFF0000"/>
            <rFont val="Calibri"/>
            <family val="2"/>
          </rPr>
          <t xml:space="preserve">controlled vocabulary (site negative | field negative | process negative | extraction negative | PCR negative | other:)
</t>
        </r>
      </text>
    </comment>
    <comment ref="D3" authorId="0" shapeId="0" xr:uid="{00000000-0006-0000-0300-000003000000}">
      <text>
        <r>
          <rPr>
            <b/>
            <sz val="11"/>
            <color rgb="FF000000"/>
            <rFont val="Calibri"/>
            <family val="2"/>
          </rPr>
          <t xml:space="preserve">Requirement level : </t>
        </r>
        <r>
          <rPr>
            <b/>
            <sz val="11"/>
            <color rgb="FFFF0000"/>
            <rFont val="Calibri"/>
            <family val="2"/>
          </rPr>
          <t xml:space="preserve">Mandatory (If samp_category = positive control)
</t>
        </r>
        <r>
          <rPr>
            <b/>
            <sz val="11"/>
            <color rgb="FF000000"/>
            <rFont val="Calibri"/>
            <family val="2"/>
          </rPr>
          <t xml:space="preserve">Description : </t>
        </r>
        <r>
          <rPr>
            <sz val="11"/>
            <color rgb="FF000000"/>
            <rFont val="Calibri"/>
            <family val="2"/>
          </rPr>
          <t xml:space="preserve">A positive control type used in an investigation. See Table 2 in Klymus et al. 2024 (DOI: 10.3897/mbmg.8.128689) for the description of each control type, how and why it's created. For example, PCR positive is a introduced target material to monitor for PCR success, including moch community samples. Provide further details (e.g., synthetic DNA) where applicable.
</t>
        </r>
        <r>
          <rPr>
            <b/>
            <sz val="11"/>
            <color rgb="FF000000"/>
            <rFont val="Calibri"/>
            <family val="2"/>
          </rPr>
          <t xml:space="preserve">Example : </t>
        </r>
        <r>
          <rPr>
            <sz val="11"/>
            <color rgb="FF000000"/>
            <rFont val="Calibri"/>
            <family val="2"/>
          </rPr>
          <t xml:space="preserve">PCR positive of synthetic DNA
</t>
        </r>
        <r>
          <rPr>
            <b/>
            <sz val="11"/>
            <color rgb="FF000000"/>
            <rFont val="Calibri"/>
            <family val="2"/>
          </rPr>
          <t xml:space="preserve">Field type : </t>
        </r>
        <r>
          <rPr>
            <sz val="11"/>
            <color rgb="FF000000"/>
            <rFont val="Calibri"/>
            <family val="2"/>
          </rPr>
          <t xml:space="preserve">free text
</t>
        </r>
      </text>
    </comment>
    <comment ref="E3" authorId="0" shapeId="0" xr:uid="{00000000-0006-0000-03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 identifier for the physical sample (as opposed to the extracted DNA sample defined by samp_name). In the absence of a persistent global unique identifier, construct one from a combination of identifiers in the record.
</t>
        </r>
        <r>
          <rPr>
            <b/>
            <sz val="11"/>
            <color rgb="FF000000"/>
            <rFont val="Calibri"/>
            <family val="2"/>
          </rPr>
          <t xml:space="preserve">Example : </t>
        </r>
        <r>
          <rPr>
            <sz val="11"/>
            <color rgb="FF000000"/>
            <rFont val="Calibri"/>
            <family val="2"/>
          </rPr>
          <t xml:space="preserve">GOMECC4_27N_Sta1_Deep
</t>
        </r>
        <r>
          <rPr>
            <b/>
            <sz val="11"/>
            <color rgb="FF000000"/>
            <rFont val="Calibri"/>
            <family val="2"/>
          </rPr>
          <t xml:space="preserve">Field type : </t>
        </r>
        <r>
          <rPr>
            <sz val="11"/>
            <color rgb="FF000000"/>
            <rFont val="Calibri"/>
            <family val="2"/>
          </rPr>
          <t xml:space="preserve">free text
</t>
        </r>
      </text>
    </comment>
    <comment ref="F3" authorId="0" shapeId="0" xr:uid="{00000000-0006-0000-0300-00000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refers to the samp_name of the original (or parent) sample from which the current sample was derived. For example, if sample "S01" (the parent sample) was collected at a sampling site and later subsampled into three child samples with samp_names "S01_1", "S01_2", "S01_3", then "S01" is the value for sample_derived_from in each of the child samples. This includes the case of pcr technical replicates.
</t>
        </r>
        <r>
          <rPr>
            <b/>
            <sz val="11"/>
            <color rgb="FF000000"/>
            <rFont val="Calibri"/>
            <family val="2"/>
          </rPr>
          <t xml:space="preserve">Example : </t>
        </r>
        <r>
          <rPr>
            <sz val="11"/>
            <color rgb="FF000000"/>
            <rFont val="Calibri"/>
            <family val="2"/>
          </rPr>
          <t xml:space="preserve">S01
</t>
        </r>
        <r>
          <rPr>
            <b/>
            <sz val="11"/>
            <color rgb="FF000000"/>
            <rFont val="Calibri"/>
            <family val="2"/>
          </rPr>
          <t xml:space="preserve">Field type : </t>
        </r>
        <r>
          <rPr>
            <sz val="11"/>
            <color rgb="FFFF0000"/>
            <rFont val="Calibri"/>
            <family val="2"/>
          </rPr>
          <t xml:space="preserve">fixed format ((a list of) samp_name)
</t>
        </r>
      </text>
    </comment>
    <comment ref="G3" authorId="0" shapeId="0" xr:uid="{00000000-0006-0000-0300-00000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contains a list of samp_name values that represent the original samples combined to form the current sample. For example, if environmental samples "S01" and "S02" were pooled into a single sample "S03" at any stage (e.g., before or after DNA extraction), then the value for sample_composed_of in "S03" would be "S01 | S02".
</t>
        </r>
        <r>
          <rPr>
            <b/>
            <sz val="11"/>
            <color rgb="FF000000"/>
            <rFont val="Calibri"/>
            <family val="2"/>
          </rPr>
          <t xml:space="preserve">Example : </t>
        </r>
        <r>
          <rPr>
            <sz val="11"/>
            <color rgb="FF000000"/>
            <rFont val="Calibri"/>
            <family val="2"/>
          </rPr>
          <t xml:space="preserve">S01 | S02
</t>
        </r>
        <r>
          <rPr>
            <b/>
            <sz val="11"/>
            <color rgb="FF000000"/>
            <rFont val="Calibri"/>
            <family val="2"/>
          </rPr>
          <t xml:space="preserve">Field type : </t>
        </r>
        <r>
          <rPr>
            <sz val="11"/>
            <color rgb="FFFF0000"/>
            <rFont val="Calibri"/>
            <family val="2"/>
          </rPr>
          <t xml:space="preserve">fixed format ((a list of) samp_name)
</t>
        </r>
      </text>
    </comment>
    <comment ref="H3" authorId="0" shapeId="0" xr:uid="{00000000-0006-0000-03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of) samp_id of the negative and positive controls related to each sample
</t>
        </r>
        <r>
          <rPr>
            <b/>
            <sz val="11"/>
            <color rgb="FF000000"/>
            <rFont val="Calibri"/>
            <family val="2"/>
          </rPr>
          <t xml:space="preserve">Example : </t>
        </r>
        <r>
          <rPr>
            <sz val="11"/>
            <color rgb="FF000000"/>
            <rFont val="Calibri"/>
            <family val="2"/>
          </rPr>
          <t xml:space="preserve">field_blank1 | ext_blank2 | pcr_ntc_plate1 | pcr_posC_plate1
</t>
        </r>
        <r>
          <rPr>
            <b/>
            <sz val="11"/>
            <color rgb="FF000000"/>
            <rFont val="Calibri"/>
            <family val="2"/>
          </rPr>
          <t xml:space="preserve">Field type : </t>
        </r>
        <r>
          <rPr>
            <sz val="11"/>
            <color rgb="FF000000"/>
            <rFont val="Calibri"/>
            <family val="2"/>
          </rPr>
          <t xml:space="preserve">free text
</t>
        </r>
      </text>
    </comment>
    <comment ref="I3" authorId="0" shapeId="0" xr:uid="{00000000-0006-0000-0300-00000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This term lists the samp_name of biological replicates associated with the current sample. For example, if three biological replicates ("S01_1", "S01_2", and "S01_3") were collected from the same sampling site, the value for biological_rep_relation in each of these replicates would be "S01_1 | S01_2 | S01_3".
</t>
        </r>
        <r>
          <rPr>
            <b/>
            <sz val="11"/>
            <color rgb="FF000000"/>
            <rFont val="Calibri"/>
            <family val="2"/>
          </rPr>
          <t xml:space="preserve">Example : </t>
        </r>
        <r>
          <rPr>
            <sz val="11"/>
            <color rgb="FF000000"/>
            <rFont val="Calibri"/>
            <family val="2"/>
          </rPr>
          <t xml:space="preserve">S01_1 | S01_2 | S01_3
</t>
        </r>
        <r>
          <rPr>
            <b/>
            <sz val="11"/>
            <color rgb="FF000000"/>
            <rFont val="Calibri"/>
            <family val="2"/>
          </rPr>
          <t xml:space="preserve">Field type : </t>
        </r>
        <r>
          <rPr>
            <sz val="11"/>
            <color rgb="FFFF0000"/>
            <rFont val="Calibri"/>
            <family val="2"/>
          </rPr>
          <t xml:space="preserve">fixed format ((a list of) samp_name)
</t>
        </r>
      </text>
    </comment>
    <comment ref="J3" authorId="0" shapeId="0" xr:uid="{00000000-0006-0000-0300-000009000000}">
      <text>
        <r>
          <rPr>
            <b/>
            <sz val="11"/>
            <color rgb="FF000000"/>
            <rFont val="Calibri"/>
            <family val="2"/>
          </rPr>
          <t xml:space="preserve">Requirement level : </t>
        </r>
        <r>
          <rPr>
            <b/>
            <sz val="11"/>
            <color rgb="FFFF0000"/>
            <rFont val="Calibri"/>
            <family val="2"/>
          </rPr>
          <t xml:space="preserve">Mandatory (Mandatory unless specified under the term informationWithheld, or samp_category = negative control, positive control, or PCR standard)
</t>
        </r>
        <r>
          <rPr>
            <b/>
            <sz val="11"/>
            <color rgb="FF000000"/>
            <rFont val="Calibri"/>
            <family val="2"/>
          </rPr>
          <t xml:space="preserve">Description : </t>
        </r>
        <r>
          <rPr>
            <sz val="11"/>
            <color rgb="FF000000"/>
            <rFont val="Calibri"/>
            <family val="2"/>
          </rPr>
          <t xml:space="preserve">The geographic longitude in decimal degrees using WGS84 datum. Positive values are east of the Greenwich Meridian, negative values are west of it. Legal values lie between -180 and 180, inclusive. The desired minimum number of decimal places is the hundred-thousandth (0.00001) to achieve meter scale resolution.
</t>
        </r>
        <r>
          <rPr>
            <b/>
            <sz val="11"/>
            <color rgb="FF000000"/>
            <rFont val="Calibri"/>
            <family val="2"/>
          </rPr>
          <t xml:space="preserve">Example : </t>
        </r>
        <r>
          <rPr>
            <sz val="11"/>
            <color rgb="FF000000"/>
            <rFont val="Calibri"/>
            <family val="2"/>
          </rPr>
          <t xml:space="preserve">-121.17611
</t>
        </r>
        <r>
          <rPr>
            <b/>
            <sz val="11"/>
            <color rgb="FF000000"/>
            <rFont val="Calibri"/>
            <family val="2"/>
          </rPr>
          <t xml:space="preserve">Field type : </t>
        </r>
        <r>
          <rPr>
            <sz val="11"/>
            <color rgb="FF000000"/>
            <rFont val="Calibri"/>
            <family val="2"/>
          </rPr>
          <t xml:space="preserve">numeric
</t>
        </r>
      </text>
    </comment>
    <comment ref="K3" authorId="0" shapeId="0" xr:uid="{00000000-0006-0000-0300-00000A000000}">
      <text>
        <r>
          <rPr>
            <b/>
            <sz val="11"/>
            <color rgb="FF000000"/>
            <rFont val="Calibri"/>
            <family val="2"/>
          </rPr>
          <t xml:space="preserve">Requirement level : </t>
        </r>
        <r>
          <rPr>
            <b/>
            <sz val="11"/>
            <color rgb="FFFF0000"/>
            <rFont val="Calibri"/>
            <family val="2"/>
          </rPr>
          <t xml:space="preserve">Mandatory (Mandatory unless specified under the term informationWithheld, or samp_category = negative control, positive control, or PCR standard)
</t>
        </r>
        <r>
          <rPr>
            <b/>
            <sz val="11"/>
            <color rgb="FF000000"/>
            <rFont val="Calibri"/>
            <family val="2"/>
          </rPr>
          <t xml:space="preserve">Description : </t>
        </r>
        <r>
          <rPr>
            <sz val="11"/>
            <color rgb="FF000000"/>
            <rFont val="Calibri"/>
            <family val="2"/>
          </rPr>
          <t xml:space="preserve">The geographic latitude in decimal degrees using WGS84 datum. Positive values are north of the Equator, negative values are south of it. Legal values lie between -90 and 90, inclusive. The desired minimum number of decimal places is the hundred-thousandth (0.00001) to achieve meter scale resolution.
</t>
        </r>
        <r>
          <rPr>
            <b/>
            <sz val="11"/>
            <color rgb="FF000000"/>
            <rFont val="Calibri"/>
            <family val="2"/>
          </rPr>
          <t xml:space="preserve">Example : </t>
        </r>
        <r>
          <rPr>
            <sz val="11"/>
            <color rgb="FF000000"/>
            <rFont val="Calibri"/>
            <family val="2"/>
          </rPr>
          <t xml:space="preserve">-41.09834
</t>
        </r>
        <r>
          <rPr>
            <b/>
            <sz val="11"/>
            <color rgb="FF000000"/>
            <rFont val="Calibri"/>
            <family val="2"/>
          </rPr>
          <t xml:space="preserve">Field type : </t>
        </r>
        <r>
          <rPr>
            <sz val="11"/>
            <color rgb="FF000000"/>
            <rFont val="Calibri"/>
            <family val="2"/>
          </rPr>
          <t xml:space="preserve">numeric
</t>
        </r>
      </text>
    </comment>
    <comment ref="L3" authorId="0" shapeId="0" xr:uid="{00000000-0006-0000-0300-00000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original longitude in any format (i.e. deg/min/sec, UTM) before converting to decimal degrees and WGS84. verbatimCoordinateSystem and verbatimSRS should be stored as well.
</t>
        </r>
        <r>
          <rPr>
            <b/>
            <sz val="11"/>
            <color rgb="FF000000"/>
            <rFont val="Calibri"/>
            <family val="2"/>
          </rPr>
          <t xml:space="preserve">Example : </t>
        </r>
        <r>
          <rPr>
            <sz val="11"/>
            <color rgb="FF000000"/>
            <rFont val="Calibri"/>
            <family val="2"/>
          </rPr>
          <t xml:space="preserve">121d 10' 34" W
</t>
        </r>
        <r>
          <rPr>
            <b/>
            <sz val="11"/>
            <color rgb="FF000000"/>
            <rFont val="Calibri"/>
            <family val="2"/>
          </rPr>
          <t xml:space="preserve">Field type : </t>
        </r>
        <r>
          <rPr>
            <sz val="11"/>
            <color rgb="FF000000"/>
            <rFont val="Calibri"/>
            <family val="2"/>
          </rPr>
          <t xml:space="preserve">free text
</t>
        </r>
      </text>
    </comment>
    <comment ref="M3" authorId="0" shapeId="0" xr:uid="{00000000-0006-0000-0300-00000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original latitude in any format (i.e. deg/min/sec, UTM) before converting to decimal degrees and WGS84. verbatimCoordinateSystem and verbatimSRS should be stored as well.
</t>
        </r>
        <r>
          <rPr>
            <b/>
            <sz val="11"/>
            <color rgb="FF000000"/>
            <rFont val="Calibri"/>
            <family val="2"/>
          </rPr>
          <t xml:space="preserve">Example : </t>
        </r>
        <r>
          <rPr>
            <sz val="11"/>
            <color rgb="FF000000"/>
            <rFont val="Calibri"/>
            <family val="2"/>
          </rPr>
          <t xml:space="preserve">41 05 54.03S
</t>
        </r>
        <r>
          <rPr>
            <b/>
            <sz val="11"/>
            <color rgb="FF000000"/>
            <rFont val="Calibri"/>
            <family val="2"/>
          </rPr>
          <t xml:space="preserve">Field type : </t>
        </r>
        <r>
          <rPr>
            <sz val="11"/>
            <color rgb="FF000000"/>
            <rFont val="Calibri"/>
            <family val="2"/>
          </rPr>
          <t xml:space="preserve">free text
</t>
        </r>
      </text>
    </comment>
    <comment ref="N3" authorId="0" shapeId="0" xr:uid="{00000000-0006-0000-0300-00000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coordinate format of the verbatimLatitude and verbatimLongitude
</t>
        </r>
        <r>
          <rPr>
            <b/>
            <sz val="11"/>
            <color rgb="FF000000"/>
            <rFont val="Calibri"/>
            <family val="2"/>
          </rPr>
          <t xml:space="preserve">Example : </t>
        </r>
        <r>
          <rPr>
            <sz val="11"/>
            <color rgb="FF000000"/>
            <rFont val="Calibri"/>
            <family val="2"/>
          </rPr>
          <t xml:space="preserve">degrees minutes seconds
</t>
        </r>
        <r>
          <rPr>
            <b/>
            <sz val="11"/>
            <color rgb="FF000000"/>
            <rFont val="Calibri"/>
            <family val="2"/>
          </rPr>
          <t xml:space="preserve">Field type : </t>
        </r>
        <r>
          <rPr>
            <sz val="11"/>
            <color rgb="FFFF0000"/>
            <rFont val="Calibri"/>
            <family val="2"/>
          </rPr>
          <t xml:space="preserve">controlled vocabulary (decimal degrees | degrees minutes seconds | UTM | other:)
</t>
        </r>
      </text>
    </comment>
    <comment ref="O3" authorId="0" shapeId="0" xr:uid="{00000000-0006-0000-03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ellipsoid, geodetic datum, or spatial reference system (SRS) upon which coordinates given in verbatimLatitude and verbatimLongitude are based.
</t>
        </r>
        <r>
          <rPr>
            <b/>
            <sz val="11"/>
            <color rgb="FF000000"/>
            <rFont val="Calibri"/>
            <family val="2"/>
          </rPr>
          <t xml:space="preserve">Example : </t>
        </r>
        <r>
          <rPr>
            <sz val="11"/>
            <color rgb="FF000000"/>
            <rFont val="Calibri"/>
            <family val="2"/>
          </rPr>
          <t xml:space="preserve">NAD84
</t>
        </r>
        <r>
          <rPr>
            <b/>
            <sz val="11"/>
            <color rgb="FF000000"/>
            <rFont val="Calibri"/>
            <family val="2"/>
          </rPr>
          <t xml:space="preserve">Field type : </t>
        </r>
        <r>
          <rPr>
            <sz val="11"/>
            <color rgb="FFFF0000"/>
            <rFont val="Calibri"/>
            <family val="2"/>
          </rPr>
          <t xml:space="preserve">controlled vocabulary (WGS84 | NAD84 | NAD27 | GDA94 | GDA2020 | ETRS89 | JGD2000 | other:)
</t>
        </r>
      </text>
    </comment>
    <comment ref="P3" authorId="0" shapeId="0" xr:uid="{00000000-0006-0000-0300-00000F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geographical origin of the sample as defined by the country or sea name followed by regions and localities. Country or sea names should be chosen from the INSDC Geographic Location Name List INSDC country list (http://insdc.org/country.html). Fixed format following &lt;country or sea names&gt;:&lt;region&gt;,&lt;locality&gt;. E.g., "USA: Maryland, Bethesda" , "Atlantic Ocean:Charlie Gibbs Fracture Zone"
</t>
        </r>
        <r>
          <rPr>
            <b/>
            <sz val="11"/>
            <color rgb="FF000000"/>
            <rFont val="Calibri"/>
            <family val="2"/>
          </rPr>
          <t xml:space="preserve">Example : </t>
        </r>
        <r>
          <rPr>
            <sz val="11"/>
            <color rgb="FF000000"/>
            <rFont val="Calibri"/>
            <family val="2"/>
          </rPr>
          <t xml:space="preserve">USA: Maryland, Bethesda
</t>
        </r>
        <r>
          <rPr>
            <b/>
            <sz val="11"/>
            <color rgb="FF000000"/>
            <rFont val="Calibri"/>
            <family val="2"/>
          </rPr>
          <t xml:space="preserve">Field type : </t>
        </r>
        <r>
          <rPr>
            <sz val="11"/>
            <color rgb="FFFF0000"/>
            <rFont val="Calibri"/>
            <family val="2"/>
          </rPr>
          <t xml:space="preserve">fixed format (&lt;country or sea names&gt;:&lt;region&gt;,&lt;locality&gt;)
</t>
        </r>
      </text>
    </comment>
    <comment ref="Q3" authorId="0" shapeId="0" xr:uid="{00000000-0006-0000-0300-000010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The date and time of sampling, either as an instance (single point in time) or interval. Must follow ISO 8601 format (yyyy-mm-ddThh:mm:ss). Time zone must be specified after the timestamp (e.g., "2008-01-23T19:23-06:00" in the time zone six hours earlier than UTC, "2008-01-23T19:23Z" at UTC time). In case no exact time is available, the date/time can be right truncated i.e. all of these are valid times: 2008-01-23T19:23:10+00:00; 2008-01-23T19:23:10Z; 2008-01-23; 2008-01; 2008; Except: 2008-01; 2008 all are ISO8601 compliant. A date and time range can be specified using a forward slash (/) to separate the start and end values (e.g., 2008-01-23T19:23-06:00/2008-01-23T19:53-06:00). A duration can also be provided using the eventDurationValue term.
</t>
        </r>
        <r>
          <rPr>
            <b/>
            <sz val="11"/>
            <color rgb="FF000000"/>
            <rFont val="Calibri"/>
            <family val="2"/>
          </rPr>
          <t xml:space="preserve">Example : </t>
        </r>
        <r>
          <rPr>
            <sz val="11"/>
            <color rgb="FF000000"/>
            <rFont val="Calibri"/>
            <family val="2"/>
          </rPr>
          <t xml:space="preserve">2008-01-23T19:23-06:00
</t>
        </r>
        <r>
          <rPr>
            <b/>
            <sz val="11"/>
            <color rgb="FF000000"/>
            <rFont val="Calibri"/>
            <family val="2"/>
          </rPr>
          <t xml:space="preserve">Field type : </t>
        </r>
        <r>
          <rPr>
            <sz val="11"/>
            <color rgb="FFFF0000"/>
            <rFont val="Calibri"/>
            <family val="2"/>
          </rPr>
          <t xml:space="preserve">fixed format (yyyy-mm-ddThh:mm:ss+-hh:mm)
</t>
        </r>
      </text>
    </comment>
    <comment ref="R3" authorId="0" shapeId="0" xr:uid="{00000000-0006-0000-0300-00001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duration of the sampling event, written in ISO 8601 format (i.e., P1DT3H for 1 day and 3 hours period. P1Y6M for 1 year and 6 months period. T30M/45M for some time between 30 and 45 minutes).
</t>
        </r>
        <r>
          <rPr>
            <b/>
            <sz val="11"/>
            <color rgb="FF000000"/>
            <rFont val="Calibri"/>
            <family val="2"/>
          </rPr>
          <t xml:space="preserve">Example : </t>
        </r>
        <r>
          <rPr>
            <sz val="11"/>
            <color rgb="FF000000"/>
            <rFont val="Calibri"/>
            <family val="2"/>
          </rPr>
          <t xml:space="preserve">T1H25M
</t>
        </r>
        <r>
          <rPr>
            <b/>
            <sz val="11"/>
            <color rgb="FF000000"/>
            <rFont val="Calibri"/>
            <family val="2"/>
          </rPr>
          <t xml:space="preserve">Field type : </t>
        </r>
        <r>
          <rPr>
            <sz val="11"/>
            <color rgb="FFFF0000"/>
            <rFont val="Calibri"/>
            <family val="2"/>
          </rPr>
          <t xml:space="preserve">fixed format (PnYnMnWnDTnHnMnS)
</t>
        </r>
      </text>
    </comment>
    <comment ref="S3" authorId="0" shapeId="0" xr:uid="{00000000-0006-0000-0300-00001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Sample collection date before formatting
</t>
        </r>
        <r>
          <rPr>
            <b/>
            <sz val="11"/>
            <color rgb="FF000000"/>
            <rFont val="Calibri"/>
            <family val="2"/>
          </rPr>
          <t xml:space="preserve">Example : </t>
        </r>
        <r>
          <rPr>
            <sz val="11"/>
            <color rgb="FF000000"/>
            <rFont val="Calibri"/>
            <family val="2"/>
          </rPr>
          <t xml:space="preserve">23-January-2008
</t>
        </r>
        <r>
          <rPr>
            <b/>
            <sz val="11"/>
            <color rgb="FF000000"/>
            <rFont val="Calibri"/>
            <family val="2"/>
          </rPr>
          <t xml:space="preserve">Field type : </t>
        </r>
        <r>
          <rPr>
            <sz val="11"/>
            <color rgb="FF000000"/>
            <rFont val="Calibri"/>
            <family val="2"/>
          </rPr>
          <t xml:space="preserve">free text
</t>
        </r>
      </text>
    </comment>
    <comment ref="T3" authorId="0" shapeId="0" xr:uid="{00000000-0006-0000-0300-00001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Sample collection time before formatting to ISO 8601, or at the local time (if eventDate time samp has been converted to UTC time)
</t>
        </r>
        <r>
          <rPr>
            <b/>
            <sz val="11"/>
            <color rgb="FF000000"/>
            <rFont val="Calibri"/>
            <family val="2"/>
          </rPr>
          <t xml:space="preserve">Example : </t>
        </r>
        <r>
          <rPr>
            <sz val="11"/>
            <color rgb="FF000000"/>
            <rFont val="Calibri"/>
            <family val="2"/>
          </rPr>
          <t xml:space="preserve">10:23
</t>
        </r>
        <r>
          <rPr>
            <b/>
            <sz val="11"/>
            <color rgb="FF000000"/>
            <rFont val="Calibri"/>
            <family val="2"/>
          </rPr>
          <t xml:space="preserve">Field type : </t>
        </r>
        <r>
          <rPr>
            <sz val="11"/>
            <color rgb="FF000000"/>
            <rFont val="Calibri"/>
            <family val="2"/>
          </rPr>
          <t xml:space="preserve">free text
</t>
        </r>
      </text>
    </comment>
    <comment ref="U3" authorId="0" shapeId="0" xr:uid="{00000000-0006-0000-0300-000014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Major environmental system your sample came from. The systems identified should have a coarse spatial grain, to provide the general environmental context of where the sampling was done. Select from ENVO’s biome class: http://purl.obolibrary.org/obo/ENVO_00000428. Examples include; estuarine biome [ENVO:01000020], tropical moist broadleaf forest biome [ENVO:01000228],
</t>
        </r>
        <r>
          <rPr>
            <b/>
            <sz val="11"/>
            <color rgb="FF000000"/>
            <rFont val="Calibri"/>
            <family val="2"/>
          </rPr>
          <t xml:space="preserve">Example : </t>
        </r>
        <r>
          <rPr>
            <sz val="11"/>
            <color rgb="FF000000"/>
            <rFont val="Calibri"/>
            <family val="2"/>
          </rPr>
          <t xml:space="preserve">estuarine biome [ENVO:01000020]
</t>
        </r>
        <r>
          <rPr>
            <b/>
            <sz val="11"/>
            <color rgb="FF000000"/>
            <rFont val="Calibri"/>
            <family val="2"/>
          </rPr>
          <t xml:space="preserve">Field type : </t>
        </r>
        <r>
          <rPr>
            <sz val="11"/>
            <color rgb="FFFF0000"/>
            <rFont val="Calibri"/>
            <family val="2"/>
          </rPr>
          <t xml:space="preserve">fixed format (termLabel [termID])
</t>
        </r>
      </text>
    </comment>
    <comment ref="V3" authorId="0" shapeId="0" xr:uid="{00000000-0006-0000-0300-000015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The entity or entities which are in your sample or specimen’s local vicinity and which you believe have significant causal influences on your sample. Select from ENVO's layer class: http://purl.obolibrary.org/obo/ENVO_01000281. Examples include;  marine pelagic zone [ENVO:00000208], estuarine coastal surface layer [ENVO:01001302], shrub layer [ENVO:01000336]
</t>
        </r>
        <r>
          <rPr>
            <b/>
            <sz val="11"/>
            <color rgb="FF000000"/>
            <rFont val="Calibri"/>
            <family val="2"/>
          </rPr>
          <t xml:space="preserve">Example : </t>
        </r>
        <r>
          <rPr>
            <sz val="11"/>
            <color rgb="FF000000"/>
            <rFont val="Calibri"/>
            <family val="2"/>
          </rPr>
          <t xml:space="preserve">estuarine coastal surface layer [ENVO:01001302]
</t>
        </r>
        <r>
          <rPr>
            <b/>
            <sz val="11"/>
            <color rgb="FF000000"/>
            <rFont val="Calibri"/>
            <family val="2"/>
          </rPr>
          <t xml:space="preserve">Field type : </t>
        </r>
        <r>
          <rPr>
            <sz val="11"/>
            <color rgb="FFFF0000"/>
            <rFont val="Calibri"/>
            <family val="2"/>
          </rPr>
          <t xml:space="preserve">fixed format (termLabel [termID])
</t>
        </r>
      </text>
    </comment>
    <comment ref="W3" authorId="0" shapeId="0" xr:uid="{00000000-0006-0000-0300-000016000000}">
      <text>
        <r>
          <rPr>
            <b/>
            <sz val="11"/>
            <color rgb="FF000000"/>
            <rFont val="Calibri"/>
            <family val="2"/>
          </rPr>
          <t xml:space="preserve">Requirement level : </t>
        </r>
        <r>
          <rPr>
            <b/>
            <sz val="11"/>
            <color rgb="FFFF0000"/>
            <rFont val="Calibri"/>
            <family val="2"/>
          </rPr>
          <t xml:space="preserve">Mandatory (Mandatory unless samp_category = negative control, positive control, or PCR standard)
</t>
        </r>
        <r>
          <rPr>
            <b/>
            <sz val="11"/>
            <color rgb="FF000000"/>
            <rFont val="Calibri"/>
            <family val="2"/>
          </rPr>
          <t xml:space="preserve">Description : </t>
        </r>
        <r>
          <rPr>
            <sz val="11"/>
            <color rgb="FF000000"/>
            <rFont val="Calibri"/>
            <family val="2"/>
          </rPr>
          <t xml:space="preserve">Environmental material or materials (pipe separated) immediately surrounded your sample prior to sampling. Select from ENVO's environmental material class (entity/ continuant/ independent continuant/ material entity/ environmental material): http://purl.obolibrary.org/obo/ENVO_00010483. Examples include; soil [ENVO:00001998], marine sediment [ENVO:03000033], air [ENVO:00002005], sea water [ENVO:00002149], fresh water [ENVO:00002011], tap water [ENVO:00003096], fecal material [ENVO:00002003], digestive tract environment [ENVO:2100002], intestine environment [ENVO:2100002], planktonic material [ENVO:01000063]
</t>
        </r>
        <r>
          <rPr>
            <b/>
            <sz val="11"/>
            <color rgb="FF000000"/>
            <rFont val="Calibri"/>
            <family val="2"/>
          </rPr>
          <t xml:space="preserve">Example : </t>
        </r>
        <r>
          <rPr>
            <sz val="11"/>
            <color rgb="FF000000"/>
            <rFont val="Calibri"/>
            <family val="2"/>
          </rPr>
          <t xml:space="preserve">soil [ENVO:00001998]
</t>
        </r>
        <r>
          <rPr>
            <b/>
            <sz val="11"/>
            <color rgb="FF000000"/>
            <rFont val="Calibri"/>
            <family val="2"/>
          </rPr>
          <t xml:space="preserve">Field type : </t>
        </r>
        <r>
          <rPr>
            <sz val="11"/>
            <color rgb="FFFF0000"/>
            <rFont val="Calibri"/>
            <family val="2"/>
          </rPr>
          <t xml:space="preserve">fixed format (termLabel [termID])
</t>
        </r>
      </text>
    </comment>
    <comment ref="X3" authorId="0" shapeId="0" xr:uid="{00000000-0006-0000-0300-00001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Whether samples were taken from natural (0) or artificial (1) habitat. The examples of artificial habitat include mesocosm tank in lab, enclosure in zoo etc., including semi-natural systems. The definition of natural habitat is locations uncontrolled by researchers
</t>
        </r>
        <r>
          <rPr>
            <b/>
            <sz val="11"/>
            <color rgb="FF000000"/>
            <rFont val="Calibri"/>
            <family val="2"/>
          </rPr>
          <t xml:space="preserve">Example : </t>
        </r>
        <r>
          <rPr>
            <sz val="11"/>
            <color rgb="FF000000"/>
            <rFont val="Calibri"/>
            <family val="2"/>
          </rPr>
          <t xml:space="preserve">0
</t>
        </r>
        <r>
          <rPr>
            <b/>
            <sz val="11"/>
            <color rgb="FF000000"/>
            <rFont val="Calibri"/>
            <family val="2"/>
          </rPr>
          <t xml:space="preserve">Field type : </t>
        </r>
        <r>
          <rPr>
            <sz val="11"/>
            <color rgb="FF000000"/>
            <rFont val="Calibri"/>
            <family val="2"/>
          </rPr>
          <t xml:space="preserve">Boolean
</t>
        </r>
      </text>
    </comment>
    <comment ref="Y3" authorId="0" shapeId="0" xr:uid="{00000000-0006-0000-0300-00001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method employed for collecting the sample. Provide a link to a paper/ handbook/ standard operation protocol if any.
</t>
        </r>
        <r>
          <rPr>
            <b/>
            <sz val="11"/>
            <color rgb="FF000000"/>
            <rFont val="Calibri"/>
            <family val="2"/>
          </rPr>
          <t xml:space="preserve">Example : </t>
        </r>
        <r>
          <rPr>
            <sz val="11"/>
            <color rgb="FF000000"/>
            <rFont val="Calibri"/>
            <family val="2"/>
          </rPr>
          <t xml:space="preserve">https://research.csiro.au/ambsm/1-sample-collection-procedures/meth_1-2-soil-sampling-for-utas-urban-soil-and-aerial-microbiome-study/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Z3" authorId="0" shapeId="0" xr:uid="{00000000-0006-0000-0300-00001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device used to collect an environmental sample. This term accepts terms listed under environmental sampling device (https://ontobee.org/ontology/OBI?iri=http://purl.obolibrary.org/obo/OBI_0000968) such as syringe [OBI_0000422] and container [OBI_0000967] as well as free-text entry (i.e. niskin bottle, push core, spoon, water bottle).
</t>
        </r>
        <r>
          <rPr>
            <b/>
            <sz val="11"/>
            <color rgb="FF000000"/>
            <rFont val="Calibri"/>
            <family val="2"/>
          </rPr>
          <t xml:space="preserve">Example : </t>
        </r>
        <r>
          <rPr>
            <sz val="11"/>
            <color rgb="FF000000"/>
            <rFont val="Calibri"/>
            <family val="2"/>
          </rPr>
          <t xml:space="preserve">push core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A3" authorId="0" shapeId="0" xr:uid="{00000000-0006-0000-0300-00001A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Amount or size of original sample (volume, mass or area) that was collected from the environment. Specify the unit under the term samp_size_unit. Note: the amount or size of (sub)sample processed for DNA extraction should be entered under the term samp_vol_we_dna_ext.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AB3" authorId="0" shapeId="0" xr:uid="{00000000-0006-0000-0300-00001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Unit for samp_size
</t>
        </r>
        <r>
          <rPr>
            <b/>
            <sz val="11"/>
            <color rgb="FF000000"/>
            <rFont val="Calibri"/>
            <family val="2"/>
          </rPr>
          <t xml:space="preserve">Example : </t>
        </r>
        <r>
          <rPr>
            <sz val="11"/>
            <color rgb="FF000000"/>
            <rFont val="Calibri"/>
            <family val="2"/>
          </rPr>
          <t xml:space="preserve">L
</t>
        </r>
        <r>
          <rPr>
            <b/>
            <sz val="11"/>
            <color rgb="FF000000"/>
            <rFont val="Calibri"/>
            <family val="2"/>
          </rPr>
          <t xml:space="preserve">Field type : </t>
        </r>
        <r>
          <rPr>
            <sz val="11"/>
            <color rgb="FFFF0000"/>
            <rFont val="Calibri"/>
            <family val="2"/>
          </rPr>
          <t xml:space="preserve">controlled vocabulary (mL | L | mg | g | kg | cm2 | m2 | cm3 | m3 | other:)
</t>
        </r>
        <r>
          <rPr>
            <b/>
            <sz val="11"/>
            <color rgb="FF000000"/>
            <rFont val="Calibri"/>
            <family val="2"/>
          </rPr>
          <t xml:space="preserve">Sample type(s) : </t>
        </r>
        <r>
          <rPr>
            <sz val="11"/>
            <color rgb="FF000000"/>
            <rFont val="Calibri"/>
            <family val="2"/>
          </rPr>
          <t>ALL</t>
        </r>
      </text>
    </comment>
    <comment ref="AC3" authorId="0" shapeId="0" xr:uid="{00000000-0006-0000-0300-00001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Temperature at which the sample was stored. Enter either the fixed term "ambient temperature" or a numeric value. Note: If a sample was processed before DNA extraction (e.g., filtration, homogenisation, subsampling), enter the storage temperature before the process here, and the storage temperature of the processed sample (i.e., filter paper) under a term prepped_samp_store_temp. Unit = degree Celsius
</t>
        </r>
        <r>
          <rPr>
            <b/>
            <sz val="11"/>
            <color rgb="FF000000"/>
            <rFont val="Calibri"/>
            <family val="2"/>
          </rPr>
          <t xml:space="preserve">Example : </t>
        </r>
        <r>
          <rPr>
            <sz val="11"/>
            <color rgb="FF000000"/>
            <rFont val="Calibri"/>
            <family val="2"/>
          </rPr>
          <t xml:space="preserve">-80.0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ALL</t>
        </r>
      </text>
    </comment>
    <comment ref="AD3" authorId="0" shapeId="0" xr:uid="{00000000-0006-0000-0300-00001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Solution within which the sample was stored. Note: If a sample was processed before DNA extraction (e.g., filtration, homogenisation, subsampling), enter the storage solution before the process here, and the storage solution of the processed sample under the term prepped_samp_store_sol.
</t>
        </r>
        <r>
          <rPr>
            <b/>
            <sz val="11"/>
            <color rgb="FF000000"/>
            <rFont val="Calibri"/>
            <family val="2"/>
          </rPr>
          <t xml:space="preserve">Example : </t>
        </r>
        <r>
          <rPr>
            <sz val="11"/>
            <color rgb="FF000000"/>
            <rFont val="Calibri"/>
            <family val="2"/>
          </rPr>
          <t xml:space="preserve">none
</t>
        </r>
        <r>
          <rPr>
            <b/>
            <sz val="11"/>
            <color rgb="FF000000"/>
            <rFont val="Calibri"/>
            <family val="2"/>
          </rPr>
          <t xml:space="preserve">Field type : </t>
        </r>
        <r>
          <rPr>
            <sz val="11"/>
            <color rgb="FFFF0000"/>
            <rFont val="Calibri"/>
            <family val="2"/>
          </rPr>
          <t xml:space="preserve">controlled vocabulary (ethanol | sodium acetate | longmire | lysis buffer | none | other:)
</t>
        </r>
        <r>
          <rPr>
            <b/>
            <sz val="11"/>
            <color rgb="FF000000"/>
            <rFont val="Calibri"/>
            <family val="2"/>
          </rPr>
          <t xml:space="preserve">Sample type(s) : </t>
        </r>
        <r>
          <rPr>
            <sz val="11"/>
            <color rgb="FF000000"/>
            <rFont val="Calibri"/>
            <family val="2"/>
          </rPr>
          <t>ALL</t>
        </r>
      </text>
    </comment>
    <comment ref="AE3" authorId="0" shapeId="0" xr:uid="{00000000-0006-0000-0300-00001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Duration for which the sample was stored prior to DNA extraction, written in ISO 8601 format (i.e., P14D for 14 days period. P1Y6M for 1 year and 6 months period. P1W/4W for some time between 1 and 4 weeks). Note: If a sample was processed before DNA extraction (e.g., filtration, homogenisation, subsampling), enter the storage duration before the process here, and the storage duration of the processed sample under the term prepped_samp_store_temp.
</t>
        </r>
        <r>
          <rPr>
            <b/>
            <sz val="11"/>
            <color rgb="FF000000"/>
            <rFont val="Calibri"/>
            <family val="2"/>
          </rPr>
          <t xml:space="preserve">Example : </t>
        </r>
        <r>
          <rPr>
            <sz val="11"/>
            <color rgb="FF000000"/>
            <rFont val="Calibri"/>
            <family val="2"/>
          </rPr>
          <t xml:space="preserve">P1Y6M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ALL</t>
        </r>
      </text>
    </comment>
    <comment ref="AF3" authorId="0" shapeId="0" xr:uid="{00000000-0006-0000-0300-00001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Location at which sample was stored, usually name of a specific freezer/room
</t>
        </r>
        <r>
          <rPr>
            <b/>
            <sz val="11"/>
            <color rgb="FF000000"/>
            <rFont val="Calibri"/>
            <family val="2"/>
          </rPr>
          <t xml:space="preserve">Example : </t>
        </r>
        <r>
          <rPr>
            <sz val="11"/>
            <color rgb="FF000000"/>
            <rFont val="Calibri"/>
            <family val="2"/>
          </rPr>
          <t xml:space="preserve">UWA, IOMRC, Lv4 -80Freezer1
</t>
        </r>
        <r>
          <rPr>
            <b/>
            <sz val="11"/>
            <color rgb="FF000000"/>
            <rFont val="Calibri"/>
            <family val="2"/>
          </rPr>
          <t xml:space="preserve">Field type : </t>
        </r>
        <r>
          <rPr>
            <sz val="11"/>
            <color rgb="FF000000"/>
            <rFont val="Calibri"/>
            <family val="2"/>
          </rPr>
          <t xml:space="preserve">free text
</t>
        </r>
      </text>
    </comment>
    <comment ref="AG3" authorId="0" shapeId="0" xr:uid="{00000000-0006-0000-0300-00002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Location at which extracted DNA was stored, usually name of a specific freezer/room
</t>
        </r>
        <r>
          <rPr>
            <b/>
            <sz val="11"/>
            <color rgb="FF000000"/>
            <rFont val="Calibri"/>
            <family val="2"/>
          </rPr>
          <t xml:space="preserve">Example : </t>
        </r>
        <r>
          <rPr>
            <sz val="11"/>
            <color rgb="FF000000"/>
            <rFont val="Calibri"/>
            <family val="2"/>
          </rPr>
          <t xml:space="preserve">UWA, IOMRC, Lv4 -80Freezer2
</t>
        </r>
        <r>
          <rPr>
            <b/>
            <sz val="11"/>
            <color rgb="FF000000"/>
            <rFont val="Calibri"/>
            <family val="2"/>
          </rPr>
          <t xml:space="preserve">Field type : </t>
        </r>
        <r>
          <rPr>
            <sz val="11"/>
            <color rgb="FF000000"/>
            <rFont val="Calibri"/>
            <family val="2"/>
          </rPr>
          <t xml:space="preserve">free text
</t>
        </r>
      </text>
    </comment>
    <comment ref="AH3" authorId="0" shapeId="0" xr:uid="{00000000-0006-0000-0300-00002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sample storage method, that has not been shared in the given record.
</t>
        </r>
        <r>
          <rPr>
            <b/>
            <sz val="11"/>
            <color rgb="FF000000"/>
            <rFont val="Calibri"/>
            <family val="2"/>
          </rPr>
          <t xml:space="preserve">Example : </t>
        </r>
        <r>
          <rPr>
            <sz val="11"/>
            <color rgb="FF000000"/>
            <rFont val="Calibri"/>
            <family val="2"/>
          </rPr>
          <t xml:space="preserve">The sample was thawed overnight at room temperature prior to DNA extraction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I3" authorId="0" shapeId="0" xr:uid="{00000000-0006-0000-0300-00002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Any processing applied to the sample during or after retrieving the sample from environment (i.e. sieving, filtration, precipitation, homogenising, subsampling).
</t>
        </r>
        <r>
          <rPr>
            <b/>
            <sz val="11"/>
            <color rgb="FF000000"/>
            <rFont val="Calibri"/>
            <family val="2"/>
          </rPr>
          <t xml:space="preserve">Example : </t>
        </r>
        <r>
          <rPr>
            <sz val="11"/>
            <color rgb="FF000000"/>
            <rFont val="Calibri"/>
            <family val="2"/>
          </rPr>
          <t xml:space="preserve">Water samples were pre-filtered using a sieve (200 micrometers), then filtered using a peristaltic pump (pore size 0.45 micrometers).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AJ3" authorId="0" shapeId="0" xr:uid="{00000000-0006-0000-0300-00002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Whether water/ air samples were collected using active (i.e. pump, fan) or passive (i.e. submerged materials in water/air) filtration approach. Active = 1, Passive =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r>
          <rPr>
            <b/>
            <sz val="11"/>
            <color rgb="FF000000"/>
            <rFont val="Calibri"/>
            <family val="2"/>
          </rPr>
          <t xml:space="preserve">Sample type(s) : </t>
        </r>
        <r>
          <rPr>
            <sz val="11"/>
            <color rgb="FF000000"/>
            <rFont val="Calibri"/>
            <family val="2"/>
          </rPr>
          <t>Water | Air</t>
        </r>
      </text>
    </comment>
    <comment ref="AK3" authorId="0" shapeId="0" xr:uid="{00000000-0006-0000-0300-00002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Duration of on-site, stationed sampling (i.e., the filter deployment period). This term is recommended to be recorded when filters are deployed directly in the environment, such as during airborne eDNA sampling or when filters are submerged in water for a certain period). The duration should be recorded using ISO 8601 duration format (P&lt;date&gt;T&lt;time&gt;). For example, P1Y1M1DT1H1M1.1S represents 1 year, 1 month, 1 day, 1 hour, 1 minute, 1 second, and 100 milliseconds
</t>
        </r>
        <r>
          <rPr>
            <b/>
            <sz val="11"/>
            <color rgb="FF000000"/>
            <rFont val="Calibri"/>
            <family val="2"/>
          </rPr>
          <t xml:space="preserve">Example : </t>
        </r>
        <r>
          <rPr>
            <sz val="11"/>
            <color rgb="FF000000"/>
            <rFont val="Calibri"/>
            <family val="2"/>
          </rPr>
          <t xml:space="preserve">T1H30M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Water | Air</t>
        </r>
      </text>
    </comment>
    <comment ref="AL3" authorId="0" shapeId="0" xr:uid="{00000000-0006-0000-0300-00002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Pump flow rate of filtration if applicable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M3" authorId="0" shapeId="0" xr:uid="{00000000-0006-0000-0300-00002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Unit for pump_flow_rate
</t>
        </r>
        <r>
          <rPr>
            <b/>
            <sz val="11"/>
            <color rgb="FF000000"/>
            <rFont val="Calibri"/>
            <family val="2"/>
          </rPr>
          <t xml:space="preserve">Example : </t>
        </r>
        <r>
          <rPr>
            <sz val="11"/>
            <color rgb="FF000000"/>
            <rFont val="Calibri"/>
            <family val="2"/>
          </rPr>
          <t xml:space="preserve">m3/s
</t>
        </r>
        <r>
          <rPr>
            <b/>
            <sz val="11"/>
            <color rgb="FF000000"/>
            <rFont val="Calibri"/>
            <family val="2"/>
          </rPr>
          <t xml:space="preserve">Field type : </t>
        </r>
        <r>
          <rPr>
            <sz val="11"/>
            <color rgb="FFFF0000"/>
            <rFont val="Calibri"/>
            <family val="2"/>
          </rPr>
          <t xml:space="preserve">controlled vocabulary (m3/s | m3/min | m3/h | L/s | L/min | L/h | other:)
</t>
        </r>
        <r>
          <rPr>
            <b/>
            <sz val="11"/>
            <color rgb="FF000000"/>
            <rFont val="Calibri"/>
            <family val="2"/>
          </rPr>
          <t xml:space="preserve">Sample type(s) : </t>
        </r>
        <r>
          <rPr>
            <sz val="11"/>
            <color rgb="FF000000"/>
            <rFont val="Calibri"/>
            <family val="2"/>
          </rPr>
          <t>Water | Air</t>
        </r>
      </text>
    </comment>
    <comment ref="AN3" authorId="0" shapeId="0" xr:uid="{00000000-0006-0000-0300-00002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Material used to pre-filter/pre-sort the sample
</t>
        </r>
        <r>
          <rPr>
            <b/>
            <sz val="11"/>
            <color rgb="FF000000"/>
            <rFont val="Calibri"/>
            <family val="2"/>
          </rPr>
          <t xml:space="preserve">Example : </t>
        </r>
        <r>
          <rPr>
            <sz val="11"/>
            <color rgb="FF000000"/>
            <rFont val="Calibri"/>
            <family val="2"/>
          </rPr>
          <t xml:space="preserve">nylon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Air</t>
        </r>
      </text>
    </comment>
    <comment ref="AO3" authorId="0" shapeId="0" xr:uid="{00000000-0006-0000-0300-00002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Refers to the mesh/pore size used to pre-filter/pre-sort the sample. Materials larger than the size threshold are excluded from the sample. Unit = µm
</t>
        </r>
        <r>
          <rPr>
            <b/>
            <sz val="11"/>
            <color rgb="FF000000"/>
            <rFont val="Calibri"/>
            <family val="2"/>
          </rPr>
          <t xml:space="preserve">Example : </t>
        </r>
        <r>
          <rPr>
            <sz val="11"/>
            <color rgb="FF000000"/>
            <rFont val="Calibri"/>
            <family val="2"/>
          </rPr>
          <t xml:space="preserve">20.0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P3" authorId="0" shapeId="0" xr:uid="{00000000-0006-0000-0300-00002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Filtering pore size used in sample filtration. Unit = µm
</t>
        </r>
        <r>
          <rPr>
            <b/>
            <sz val="11"/>
            <color rgb="FF000000"/>
            <rFont val="Calibri"/>
            <family val="2"/>
          </rPr>
          <t xml:space="preserve">Example : </t>
        </r>
        <r>
          <rPr>
            <sz val="11"/>
            <color rgb="FF000000"/>
            <rFont val="Calibri"/>
            <family val="2"/>
          </rPr>
          <t xml:space="preserve">0.22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Q3" authorId="0" shapeId="0" xr:uid="{00000000-0006-0000-0300-00002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Diameter of a filter if circular. Unit = mm
</t>
        </r>
        <r>
          <rPr>
            <b/>
            <sz val="11"/>
            <color rgb="FF000000"/>
            <rFont val="Calibri"/>
            <family val="2"/>
          </rPr>
          <t xml:space="preserve">Example : </t>
        </r>
        <r>
          <rPr>
            <sz val="11"/>
            <color rgb="FF000000"/>
            <rFont val="Calibri"/>
            <family val="2"/>
          </rPr>
          <t xml:space="preserve">47.0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R3" authorId="0" shapeId="0" xr:uid="{00000000-0006-0000-0300-00002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Surface area of a filter. Unit = mm2
</t>
        </r>
        <r>
          <rPr>
            <b/>
            <sz val="11"/>
            <color rgb="FF000000"/>
            <rFont val="Calibri"/>
            <family val="2"/>
          </rPr>
          <t xml:space="preserve">Example : </t>
        </r>
        <r>
          <rPr>
            <sz val="11"/>
            <color rgb="FF000000"/>
            <rFont val="Calibri"/>
            <family val="2"/>
          </rPr>
          <t xml:space="preserve">1734.94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Air</t>
        </r>
      </text>
    </comment>
    <comment ref="AS3" authorId="0" shapeId="0" xr:uid="{00000000-0006-0000-0300-00002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Material of filter
</t>
        </r>
        <r>
          <rPr>
            <b/>
            <sz val="11"/>
            <color rgb="FF000000"/>
            <rFont val="Calibri"/>
            <family val="2"/>
          </rPr>
          <t xml:space="preserve">Example : </t>
        </r>
        <r>
          <rPr>
            <sz val="11"/>
            <color rgb="FF000000"/>
            <rFont val="Calibri"/>
            <family val="2"/>
          </rPr>
          <t xml:space="preserve">cellulose ester
</t>
        </r>
        <r>
          <rPr>
            <b/>
            <sz val="11"/>
            <color rgb="FF000000"/>
            <rFont val="Calibri"/>
            <family val="2"/>
          </rPr>
          <t xml:space="preserve">Field type : </t>
        </r>
        <r>
          <rPr>
            <sz val="11"/>
            <color rgb="FFFF0000"/>
            <rFont val="Calibri"/>
            <family val="2"/>
          </rPr>
          <t xml:space="preserve">controlled vocabulary (cellulose | cellulose ester | glass fiber | thermoplastic membrane | track etched polycarbonate | nylon | polyethersulfone| other:)
</t>
        </r>
        <r>
          <rPr>
            <b/>
            <sz val="11"/>
            <color rgb="FF000000"/>
            <rFont val="Calibri"/>
            <family val="2"/>
          </rPr>
          <t xml:space="preserve">Sample type(s) : </t>
        </r>
        <r>
          <rPr>
            <sz val="11"/>
            <color rgb="FF000000"/>
            <rFont val="Calibri"/>
            <family val="2"/>
          </rPr>
          <t>Water | Air</t>
        </r>
      </text>
    </comment>
    <comment ref="AT3" authorId="0" shapeId="0" xr:uid="{00000000-0006-0000-0300-00002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Commercial names and brand of filter
</t>
        </r>
        <r>
          <rPr>
            <b/>
            <sz val="11"/>
            <color rgb="FF000000"/>
            <rFont val="Calibri"/>
            <family val="2"/>
          </rPr>
          <t xml:space="preserve">Example : </t>
        </r>
        <r>
          <rPr>
            <sz val="11"/>
            <color rgb="FF000000"/>
            <rFont val="Calibri"/>
            <family val="2"/>
          </rPr>
          <t xml:space="preserve">Merck Sterivex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Air</t>
        </r>
      </text>
    </comment>
    <comment ref="AU3" authorId="0" shapeId="0" xr:uid="{00000000-0006-0000-0300-00002E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Chemicals used in precipitation at the sample preparation step prior to DNA extraction, if precipitation was performed
</t>
        </r>
        <r>
          <rPr>
            <b/>
            <sz val="11"/>
            <color rgb="FF000000"/>
            <rFont val="Calibri"/>
            <family val="2"/>
          </rPr>
          <t xml:space="preserve">Example : </t>
        </r>
        <r>
          <rPr>
            <sz val="11"/>
            <color rgb="FF000000"/>
            <rFont val="Calibri"/>
            <family val="2"/>
          </rPr>
          <t xml:space="preserve">ethanol | sodium chloride
</t>
        </r>
        <r>
          <rPr>
            <b/>
            <sz val="11"/>
            <color rgb="FF000000"/>
            <rFont val="Calibri"/>
            <family val="2"/>
          </rPr>
          <t xml:space="preserve">Field type : </t>
        </r>
        <r>
          <rPr>
            <sz val="11"/>
            <color rgb="FFFF0000"/>
            <rFont val="Calibri"/>
            <family val="2"/>
          </rPr>
          <t xml:space="preserve">controlled vocabulary (ethanol | isopropanol | sodium chloride | other:)
</t>
        </r>
        <r>
          <rPr>
            <b/>
            <sz val="11"/>
            <color rgb="FF000000"/>
            <rFont val="Calibri"/>
            <family val="2"/>
          </rPr>
          <t xml:space="preserve">Sample type(s) : </t>
        </r>
        <r>
          <rPr>
            <sz val="11"/>
            <color rgb="FF000000"/>
            <rFont val="Calibri"/>
            <family val="2"/>
          </rPr>
          <t>Water | Soil | Sediment</t>
        </r>
      </text>
    </comment>
    <comment ref="AV3" authorId="0" shapeId="0" xr:uid="{00000000-0006-0000-0300-00002F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Centrifuge force used in precipitation at the sample preparation step prior to DNA extraction, if precipitation was performed. Unit = x g
</t>
        </r>
        <r>
          <rPr>
            <b/>
            <sz val="11"/>
            <color rgb="FF000000"/>
            <rFont val="Calibri"/>
            <family val="2"/>
          </rPr>
          <t xml:space="preserve">Example : </t>
        </r>
        <r>
          <rPr>
            <sz val="11"/>
            <color rgb="FF000000"/>
            <rFont val="Calibri"/>
            <family val="2"/>
          </rPr>
          <t xml:space="preserve">20000.0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t>
        </r>
      </text>
    </comment>
    <comment ref="AW3" authorId="0" shapeId="0" xr:uid="{00000000-0006-0000-0300-000030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Duration of precipitation at the sample preparation step prior to DNA extraction, if precipitation was performed. Unit = minute
</t>
        </r>
        <r>
          <rPr>
            <b/>
            <sz val="11"/>
            <color rgb="FF000000"/>
            <rFont val="Calibri"/>
            <family val="2"/>
          </rPr>
          <t xml:space="preserve">Example : </t>
        </r>
        <r>
          <rPr>
            <sz val="11"/>
            <color rgb="FF000000"/>
            <rFont val="Calibri"/>
            <family val="2"/>
          </rPr>
          <t xml:space="preserve">45.0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t>
        </r>
      </text>
    </comment>
    <comment ref="AX3" authorId="0" shapeId="0" xr:uid="{00000000-0006-0000-0300-00003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Temperature used in precipitation at the sample preparation step prior to DNA extraction, if precipitation was performed. Unit = degree Celsius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Water | Soil | Sediment</t>
        </r>
      </text>
    </comment>
    <comment ref="AY3" authorId="0" shapeId="0" xr:uid="{00000000-0006-0000-0300-00003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Temperature at which the prepared sample was stored prior to DNA extraction. Record either 'ambient' or a numeric value in degree Celsius. Note: The storage temperature of the original environmental sample (e.g., water, soil) should be recorded under samp_store_temp, while the current term is for the "processed" sample such as filter paper, homogenised and subsampled sediment, prepared for DNA extraction. Unit = degree Celsius
</t>
        </r>
        <r>
          <rPr>
            <b/>
            <sz val="11"/>
            <color rgb="FF000000"/>
            <rFont val="Calibri"/>
            <family val="2"/>
          </rPr>
          <t xml:space="preserve">Example : </t>
        </r>
        <r>
          <rPr>
            <sz val="11"/>
            <color rgb="FF000000"/>
            <rFont val="Calibri"/>
            <family val="2"/>
          </rPr>
          <t xml:space="preserve">ambient temperature
</t>
        </r>
        <r>
          <rPr>
            <b/>
            <sz val="11"/>
            <color rgb="FF000000"/>
            <rFont val="Calibri"/>
            <family val="2"/>
          </rPr>
          <t xml:space="preserve">Field type : </t>
        </r>
        <r>
          <rPr>
            <sz val="11"/>
            <color rgb="FF000000"/>
            <rFont val="Calibri"/>
            <family val="2"/>
          </rPr>
          <t xml:space="preserve">numeric or controlled vocabulary
</t>
        </r>
        <r>
          <rPr>
            <b/>
            <sz val="11"/>
            <color rgb="FF000000"/>
            <rFont val="Calibri"/>
            <family val="2"/>
          </rPr>
          <t xml:space="preserve">Sample type(s) : </t>
        </r>
        <r>
          <rPr>
            <sz val="11"/>
            <color rgb="FF000000"/>
            <rFont val="Calibri"/>
            <family val="2"/>
          </rPr>
          <t>ALL</t>
        </r>
      </text>
    </comment>
    <comment ref="AZ3" authorId="0" shapeId="0" xr:uid="{00000000-0006-0000-0300-00003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Solution within which the prepared sample was stored prior to DNA extraction. Note: The storage solution of the original environmental sample (e.g., water, soil) should be recorded under samp_store_sol, while the current term is for the "processed" sample such as filter paper, homogenised and subsampled sediment, prepared for DNA extraction.
</t>
        </r>
        <r>
          <rPr>
            <b/>
            <sz val="11"/>
            <color rgb="FF000000"/>
            <rFont val="Calibri"/>
            <family val="2"/>
          </rPr>
          <t xml:space="preserve">Example : </t>
        </r>
        <r>
          <rPr>
            <sz val="11"/>
            <color rgb="FF000000"/>
            <rFont val="Calibri"/>
            <family val="2"/>
          </rPr>
          <t xml:space="preserve">lysis buffer
</t>
        </r>
        <r>
          <rPr>
            <b/>
            <sz val="11"/>
            <color rgb="FF000000"/>
            <rFont val="Calibri"/>
            <family val="2"/>
          </rPr>
          <t xml:space="preserve">Field type : </t>
        </r>
        <r>
          <rPr>
            <sz val="11"/>
            <color rgb="FFFF0000"/>
            <rFont val="Calibri"/>
            <family val="2"/>
          </rPr>
          <t xml:space="preserve">controlled vocabulary (ethanol | sodium acetate | longmire | lysis buffer | none | other:)
</t>
        </r>
        <r>
          <rPr>
            <b/>
            <sz val="11"/>
            <color rgb="FF000000"/>
            <rFont val="Calibri"/>
            <family val="2"/>
          </rPr>
          <t xml:space="preserve">Sample type(s) : </t>
        </r>
        <r>
          <rPr>
            <sz val="11"/>
            <color rgb="FF000000"/>
            <rFont val="Calibri"/>
            <family val="2"/>
          </rPr>
          <t>ALL</t>
        </r>
      </text>
    </comment>
    <comment ref="BA3" authorId="0" shapeId="0" xr:uid="{00000000-0006-0000-0300-00003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Duration for which the prepared sample was stored prior to DNA extraction, written in ISO 8601 format (i.e., P14D for 14 days period. P1Y6M for 1 year and 6 months period. P1W/4W for some time between 1 and 4 weeks). Note: The storage duration of the original environmental sample (e.g., water, soil) should be recorded under samp_store_dur, while the current term is for the "processed" sample such as filter paper, homogenised and subsampled sediment, prepared for DNA extraction.
</t>
        </r>
        <r>
          <rPr>
            <b/>
            <sz val="11"/>
            <color rgb="FF000000"/>
            <rFont val="Calibri"/>
            <family val="2"/>
          </rPr>
          <t xml:space="preserve">Example : </t>
        </r>
        <r>
          <rPr>
            <sz val="11"/>
            <color rgb="FF000000"/>
            <rFont val="Calibri"/>
            <family val="2"/>
          </rPr>
          <t xml:space="preserve">P1Y6M
</t>
        </r>
        <r>
          <rPr>
            <b/>
            <sz val="11"/>
            <color rgb="FF000000"/>
            <rFont val="Calibri"/>
            <family val="2"/>
          </rPr>
          <t xml:space="preserve">Field type : </t>
        </r>
        <r>
          <rPr>
            <sz val="11"/>
            <color rgb="FFFF0000"/>
            <rFont val="Calibri"/>
            <family val="2"/>
          </rPr>
          <t xml:space="preserve">fixed format (PnYnMnWnDTnHnMnS)
</t>
        </r>
        <r>
          <rPr>
            <b/>
            <sz val="11"/>
            <color rgb="FF000000"/>
            <rFont val="Calibri"/>
            <family val="2"/>
          </rPr>
          <t xml:space="preserve">Sample type(s) : </t>
        </r>
        <r>
          <rPr>
            <sz val="11"/>
            <color rgb="FF000000"/>
            <rFont val="Calibri"/>
            <family val="2"/>
          </rPr>
          <t>ALL</t>
        </r>
      </text>
    </comment>
    <comment ref="BB3" authorId="0" shapeId="0" xr:uid="{00000000-0006-0000-0300-00003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sample preparation, storage and preservation prior to DNA extraction, that has not been shared in the given record
</t>
        </r>
        <r>
          <rPr>
            <b/>
            <sz val="11"/>
            <color rgb="FF000000"/>
            <rFont val="Calibri"/>
            <family val="2"/>
          </rPr>
          <t xml:space="preserve">Example : </t>
        </r>
        <r>
          <rPr>
            <sz val="11"/>
            <color rgb="FF000000"/>
            <rFont val="Calibri"/>
            <family val="2"/>
          </rPr>
          <t xml:space="preserve">See Villacorta-Rath et al. (2020) (doi.org/10.1002/edn3.114) for the detailed precipitation protocols. ATL lysis buffer was used for prepped_samp_store_sol. Prepped_samp_store_temp was ambient, average of 22 degree Celsius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BC3" authorId="0" shapeId="0" xr:uid="{00000000-0006-0000-0300-00003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Date of nucleic acid extraction, written in ISO 8601 format
</t>
        </r>
        <r>
          <rPr>
            <b/>
            <sz val="11"/>
            <color rgb="FF000000"/>
            <rFont val="Calibri"/>
            <family val="2"/>
          </rPr>
          <t xml:space="preserve">Example : </t>
        </r>
        <r>
          <rPr>
            <sz val="11"/>
            <color rgb="FF000000"/>
            <rFont val="Calibri"/>
            <family val="2"/>
          </rPr>
          <t xml:space="preserve">2008-01-23T19:23-06:00
</t>
        </r>
        <r>
          <rPr>
            <b/>
            <sz val="11"/>
            <color rgb="FF000000"/>
            <rFont val="Calibri"/>
            <family val="2"/>
          </rPr>
          <t xml:space="preserve">Field type : </t>
        </r>
        <r>
          <rPr>
            <sz val="11"/>
            <color rgb="FFFF0000"/>
            <rFont val="Calibri"/>
            <family val="2"/>
          </rPr>
          <t xml:space="preserve">fixed format (NA)
</t>
        </r>
      </text>
    </comment>
    <comment ref="BD3" authorId="0" shapeId="0" xr:uid="{00000000-0006-0000-0300-000037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Volume or mass of sample or subsamples that was processed for DNA extraction. For example, if 1L of water was collected and filtered, and half of the filter paper was used for DNA extraction, the entries of samp_size and samp_vol_we_dna_ext should be 1L and 500mL respectively. Specify the unit under the term samp_vol_ext_unit.
</t>
        </r>
        <r>
          <rPr>
            <b/>
            <sz val="11"/>
            <color rgb="FF000000"/>
            <rFont val="Calibri"/>
            <family val="2"/>
          </rPr>
          <t xml:space="preserve">Example : </t>
        </r>
        <r>
          <rPr>
            <sz val="11"/>
            <color rgb="FF000000"/>
            <rFont val="Calibri"/>
            <family val="2"/>
          </rPr>
          <t xml:space="preserve">1500.0
</t>
        </r>
        <r>
          <rPr>
            <b/>
            <sz val="11"/>
            <color rgb="FF000000"/>
            <rFont val="Calibri"/>
            <family val="2"/>
          </rPr>
          <t xml:space="preserve">Field type : </t>
        </r>
        <r>
          <rPr>
            <sz val="11"/>
            <color rgb="FF000000"/>
            <rFont val="Calibri"/>
            <family val="2"/>
          </rPr>
          <t xml:space="preserve">numeric
</t>
        </r>
      </text>
    </comment>
    <comment ref="BE3" authorId="0" shapeId="0" xr:uid="{00000000-0006-0000-0300-00003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Unit for samp_vol_we_dna_ext
</t>
        </r>
        <r>
          <rPr>
            <b/>
            <sz val="11"/>
            <color rgb="FF000000"/>
            <rFont val="Calibri"/>
            <family val="2"/>
          </rPr>
          <t xml:space="preserve">Example : </t>
        </r>
        <r>
          <rPr>
            <sz val="11"/>
            <color rgb="FF000000"/>
            <rFont val="Calibri"/>
            <family val="2"/>
          </rPr>
          <t xml:space="preserve">mL
</t>
        </r>
        <r>
          <rPr>
            <b/>
            <sz val="11"/>
            <color rgb="FF000000"/>
            <rFont val="Calibri"/>
            <family val="2"/>
          </rPr>
          <t xml:space="preserve">Field type : </t>
        </r>
        <r>
          <rPr>
            <sz val="11"/>
            <color rgb="FFFF0000"/>
            <rFont val="Calibri"/>
            <family val="2"/>
          </rPr>
          <t xml:space="preserve">controlled vocabulary (mL | L | mg | g | kg | cm2 | m2 | cm3 | m3 | other:)
</t>
        </r>
      </text>
    </comment>
    <comment ref="BF3" authorId="0" shapeId="0" xr:uid="{00000000-0006-0000-0300-00003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approach used to lyse DNA-containing material. For example, physical methods may involve freeze-thaw cycles or the uses of bead mills, homogenizers and sonicators. Thermal methods apply high temperatures, often used in combination with other methods.
</t>
        </r>
        <r>
          <rPr>
            <b/>
            <sz val="11"/>
            <color rgb="FF000000"/>
            <rFont val="Calibri"/>
            <family val="2"/>
          </rPr>
          <t xml:space="preserve">Example : </t>
        </r>
        <r>
          <rPr>
            <sz val="11"/>
            <color rgb="FF000000"/>
            <rFont val="Calibri"/>
            <family val="2"/>
          </rPr>
          <t xml:space="preserve">enzymatic
</t>
        </r>
        <r>
          <rPr>
            <b/>
            <sz val="11"/>
            <color rgb="FF000000"/>
            <rFont val="Calibri"/>
            <family val="2"/>
          </rPr>
          <t xml:space="preserve">Field type : </t>
        </r>
        <r>
          <rPr>
            <sz val="11"/>
            <color rgb="FFFF0000"/>
            <rFont val="Calibri"/>
            <family val="2"/>
          </rPr>
          <t xml:space="preserve">controlled vocabulary (physical | chemical | enzymatic | thermal | osmotic | other:)
</t>
        </r>
      </text>
    </comment>
    <comment ref="BG3" authorId="0" shapeId="0" xr:uid="{00000000-0006-0000-0300-00003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approach used to separate DNA from a mixture.
</t>
        </r>
        <r>
          <rPr>
            <b/>
            <sz val="11"/>
            <color rgb="FF000000"/>
            <rFont val="Calibri"/>
            <family val="2"/>
          </rPr>
          <t xml:space="preserve">Example : </t>
        </r>
        <r>
          <rPr>
            <sz val="11"/>
            <color rgb="FF000000"/>
            <rFont val="Calibri"/>
            <family val="2"/>
          </rPr>
          <t xml:space="preserve">column-based
</t>
        </r>
        <r>
          <rPr>
            <b/>
            <sz val="11"/>
            <color rgb="FF000000"/>
            <rFont val="Calibri"/>
            <family val="2"/>
          </rPr>
          <t xml:space="preserve">Field type : </t>
        </r>
        <r>
          <rPr>
            <sz val="11"/>
            <color rgb="FFFF0000"/>
            <rFont val="Calibri"/>
            <family val="2"/>
          </rPr>
          <t xml:space="preserve">controlled vocabulary (column-based | magnetic beads | centrifugation | precipitation | phenol chloroform | gel electrophoresis | other:)
</t>
        </r>
      </text>
    </comment>
    <comment ref="BH3" authorId="0" shapeId="0" xr:uid="{00000000-0006-0000-0300-00003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 link to a literature reference, electronic resource or a standard operating procedure (SOP), that describes the material separation to recover the nucleic acid fraction from a sample. If a custom extraction method has been developed and applied to the samples within this dataset, it is Highly recommended to make the SOP available and provide the link here.
</t>
        </r>
        <r>
          <rPr>
            <b/>
            <sz val="11"/>
            <color rgb="FF000000"/>
            <rFont val="Calibri"/>
            <family val="2"/>
          </rPr>
          <t xml:space="preserve">Example : </t>
        </r>
        <r>
          <rPr>
            <sz val="11"/>
            <color rgb="FF000000"/>
            <rFont val="Calibri"/>
            <family val="2"/>
          </rPr>
          <t xml:space="preserve">https://www.qiagen.com/us/resources/resourcedetail?id=5a0517a7-711d-4085-8a28-2bb25fab828a&amp;lang=en
</t>
        </r>
        <r>
          <rPr>
            <b/>
            <sz val="11"/>
            <color rgb="FF000000"/>
            <rFont val="Calibri"/>
            <family val="2"/>
          </rPr>
          <t xml:space="preserve">Field type : </t>
        </r>
        <r>
          <rPr>
            <sz val="11"/>
            <color rgb="FF000000"/>
            <rFont val="Calibri"/>
            <family val="2"/>
          </rPr>
          <t xml:space="preserve">free text
</t>
        </r>
      </text>
    </comment>
    <comment ref="BI3" authorId="0" shapeId="0" xr:uid="{00000000-0006-0000-0300-00003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name of the extraction kit used to recover the nucleic acid fraction of an input material
</t>
        </r>
        <r>
          <rPr>
            <b/>
            <sz val="11"/>
            <color rgb="FF000000"/>
            <rFont val="Calibri"/>
            <family val="2"/>
          </rPr>
          <t xml:space="preserve">Example : </t>
        </r>
        <r>
          <rPr>
            <sz val="11"/>
            <color rgb="FF000000"/>
            <rFont val="Calibri"/>
            <family val="2"/>
          </rPr>
          <t xml:space="preserve">Qiagen PowerSoil Kit
</t>
        </r>
        <r>
          <rPr>
            <b/>
            <sz val="11"/>
            <color rgb="FF000000"/>
            <rFont val="Calibri"/>
            <family val="2"/>
          </rPr>
          <t xml:space="preserve">Field type : </t>
        </r>
        <r>
          <rPr>
            <sz val="11"/>
            <color rgb="FF000000"/>
            <rFont val="Calibri"/>
            <family val="2"/>
          </rPr>
          <t xml:space="preserve">free text
</t>
        </r>
      </text>
    </comment>
    <comment ref="BJ3" authorId="0" shapeId="0" xr:uid="{00000000-0006-0000-0300-00003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Description of modification made from a commercial or established protocol (nucl_acid_ext), if made.
</t>
        </r>
        <r>
          <rPr>
            <b/>
            <sz val="11"/>
            <color rgb="FF000000"/>
            <rFont val="Calibri"/>
            <family val="2"/>
          </rPr>
          <t xml:space="preserve">Example : </t>
        </r>
        <r>
          <rPr>
            <sz val="11"/>
            <color rgb="FF000000"/>
            <rFont val="Calibri"/>
            <family val="2"/>
          </rPr>
          <t xml:space="preserve">Sample was lysed in 540 µL of ATL buffer and 60 µL of Proteinase K, and eluted in 100 µL of buffer EB, instead of 180 µL, 20 µL and 200 µL respectively
</t>
        </r>
        <r>
          <rPr>
            <b/>
            <sz val="11"/>
            <color rgb="FF000000"/>
            <rFont val="Calibri"/>
            <family val="2"/>
          </rPr>
          <t xml:space="preserve">Field type : </t>
        </r>
        <r>
          <rPr>
            <sz val="11"/>
            <color rgb="FF000000"/>
            <rFont val="Calibri"/>
            <family val="2"/>
          </rPr>
          <t xml:space="preserve">free text
</t>
        </r>
      </text>
    </comment>
    <comment ref="BK3" authorId="0" shapeId="0" xr:uid="{00000000-0006-0000-0300-00003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Was the extracted DNA cleaned/purified? Yes = 1, No =0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BL3" authorId="0" shapeId="0" xr:uid="{00000000-0006-0000-0300-00003F000000}">
      <text>
        <r>
          <rPr>
            <b/>
            <sz val="11"/>
            <color rgb="FF000000"/>
            <rFont val="Calibri"/>
            <family val="2"/>
          </rPr>
          <t xml:space="preserve">Requirement level : </t>
        </r>
        <r>
          <rPr>
            <sz val="11"/>
            <color rgb="FF000000"/>
            <rFont val="Calibri"/>
            <family val="2"/>
          </rPr>
          <t xml:space="preserve">Recommended (If dna_cleanup_0_1 is 1)
</t>
        </r>
        <r>
          <rPr>
            <b/>
            <sz val="11"/>
            <color rgb="FF000000"/>
            <rFont val="Calibri"/>
            <family val="2"/>
          </rPr>
          <t xml:space="preserve">Description : </t>
        </r>
        <r>
          <rPr>
            <sz val="11"/>
            <color rgb="FF000000"/>
            <rFont val="Calibri"/>
            <family val="2"/>
          </rPr>
          <t xml:space="preserve">A description of DNA clean-up method. Provide the name of a commercial kit if used.
</t>
        </r>
        <r>
          <rPr>
            <b/>
            <sz val="11"/>
            <color rgb="FF000000"/>
            <rFont val="Calibri"/>
            <family val="2"/>
          </rPr>
          <t xml:space="preserve">Example : </t>
        </r>
        <r>
          <rPr>
            <sz val="11"/>
            <color rgb="FF000000"/>
            <rFont val="Calibri"/>
            <family val="2"/>
          </rPr>
          <t xml:space="preserve">Zymo DNA Clean &amp; Concentrator Kits
</t>
        </r>
        <r>
          <rPr>
            <b/>
            <sz val="11"/>
            <color rgb="FF000000"/>
            <rFont val="Calibri"/>
            <family val="2"/>
          </rPr>
          <t xml:space="preserve">Field type : </t>
        </r>
        <r>
          <rPr>
            <sz val="11"/>
            <color rgb="FF000000"/>
            <rFont val="Calibri"/>
            <family val="2"/>
          </rPr>
          <t xml:space="preserve">free text
</t>
        </r>
      </text>
    </comment>
    <comment ref="BM3" authorId="0" shapeId="0" xr:uid="{00000000-0006-0000-0300-00004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Concentration of total DNA after extraction
</t>
        </r>
        <r>
          <rPr>
            <b/>
            <sz val="11"/>
            <color rgb="FF000000"/>
            <rFont val="Calibri"/>
            <family val="2"/>
          </rPr>
          <t xml:space="preserve">Example : </t>
        </r>
        <r>
          <rPr>
            <sz val="11"/>
            <color rgb="FF000000"/>
            <rFont val="Calibri"/>
            <family val="2"/>
          </rPr>
          <t xml:space="preserve">67.5
</t>
        </r>
        <r>
          <rPr>
            <b/>
            <sz val="11"/>
            <color rgb="FF000000"/>
            <rFont val="Calibri"/>
            <family val="2"/>
          </rPr>
          <t xml:space="preserve">Field type : </t>
        </r>
        <r>
          <rPr>
            <sz val="11"/>
            <color rgb="FF000000"/>
            <rFont val="Calibri"/>
            <family val="2"/>
          </rPr>
          <t xml:space="preserve">numeric
</t>
        </r>
      </text>
    </comment>
    <comment ref="BN3" authorId="0" shapeId="0" xr:uid="{00000000-0006-0000-0300-00004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unit of total DNA concentration after extraction
</t>
        </r>
        <r>
          <rPr>
            <b/>
            <sz val="11"/>
            <color rgb="FF000000"/>
            <rFont val="Calibri"/>
            <family val="2"/>
          </rPr>
          <t xml:space="preserve">Example : </t>
        </r>
        <r>
          <rPr>
            <sz val="11"/>
            <color rgb="FF000000"/>
            <rFont val="Calibri"/>
            <family val="2"/>
          </rPr>
          <t xml:space="preserve">ng/µl
</t>
        </r>
        <r>
          <rPr>
            <b/>
            <sz val="11"/>
            <color rgb="FF000000"/>
            <rFont val="Calibri"/>
            <family val="2"/>
          </rPr>
          <t xml:space="preserve">Field type : </t>
        </r>
        <r>
          <rPr>
            <sz val="11"/>
            <color rgb="FFFF0000"/>
            <rFont val="Calibri"/>
            <family val="2"/>
          </rPr>
          <t xml:space="preserve">controlled vocabulary (ng/µl | copies/µl | other:)
</t>
        </r>
      </text>
    </comment>
    <comment ref="BO3" authorId="0" shapeId="0" xr:uid="{00000000-0006-0000-0300-00004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method/instrument used for concentration measurement
</t>
        </r>
        <r>
          <rPr>
            <b/>
            <sz val="11"/>
            <color rgb="FF000000"/>
            <rFont val="Calibri"/>
            <family val="2"/>
          </rPr>
          <t xml:space="preserve">Example : </t>
        </r>
        <r>
          <rPr>
            <sz val="11"/>
            <color rgb="FF000000"/>
            <rFont val="Calibri"/>
            <family val="2"/>
          </rPr>
          <t xml:space="preserve">Qubit 4.0 Fluorometer (Invitrogen)
</t>
        </r>
        <r>
          <rPr>
            <b/>
            <sz val="11"/>
            <color rgb="FF000000"/>
            <rFont val="Calibri"/>
            <family val="2"/>
          </rPr>
          <t xml:space="preserve">Field type : </t>
        </r>
        <r>
          <rPr>
            <sz val="11"/>
            <color rgb="FF000000"/>
            <rFont val="Calibri"/>
            <family val="2"/>
          </rPr>
          <t xml:space="preserve">free text
</t>
        </r>
      </text>
    </comment>
    <comment ref="BP3" authorId="0" shapeId="0" xr:uid="{00000000-0006-0000-0300-00004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Ratio of absorbance at 260 nm and 230 nm assessing DNA purity (mostly secondary measure, indicates mainly EDTA, carbohydrates, phenol).
</t>
        </r>
        <r>
          <rPr>
            <b/>
            <sz val="11"/>
            <color rgb="FF000000"/>
            <rFont val="Calibri"/>
            <family val="2"/>
          </rPr>
          <t xml:space="preserve">Example : </t>
        </r>
        <r>
          <rPr>
            <sz val="11"/>
            <color rgb="FF000000"/>
            <rFont val="Calibri"/>
            <family val="2"/>
          </rPr>
          <t xml:space="preserve">2.1
</t>
        </r>
        <r>
          <rPr>
            <b/>
            <sz val="11"/>
            <color rgb="FF000000"/>
            <rFont val="Calibri"/>
            <family val="2"/>
          </rPr>
          <t xml:space="preserve">Field type : </t>
        </r>
        <r>
          <rPr>
            <sz val="11"/>
            <color rgb="FF000000"/>
            <rFont val="Calibri"/>
            <family val="2"/>
          </rPr>
          <t xml:space="preserve">numeric
</t>
        </r>
      </text>
    </comment>
    <comment ref="BQ3" authorId="0" shapeId="0" xr:uid="{00000000-0006-0000-0300-00004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extracts that were pooled in to one sample before PCR
</t>
        </r>
        <r>
          <rPr>
            <b/>
            <sz val="11"/>
            <color rgb="FF000000"/>
            <rFont val="Calibri"/>
            <family val="2"/>
          </rPr>
          <t xml:space="preserve">Example : </t>
        </r>
        <r>
          <rPr>
            <sz val="11"/>
            <color rgb="FF000000"/>
            <rFont val="Calibri"/>
            <family val="2"/>
          </rPr>
          <t xml:space="preserve">2
</t>
        </r>
        <r>
          <rPr>
            <b/>
            <sz val="11"/>
            <color rgb="FF000000"/>
            <rFont val="Calibri"/>
            <family val="2"/>
          </rPr>
          <t xml:space="preserve">Field type : </t>
        </r>
        <r>
          <rPr>
            <sz val="11"/>
            <color rgb="FF000000"/>
            <rFont val="Calibri"/>
            <family val="2"/>
          </rPr>
          <t xml:space="preserve">integer
</t>
        </r>
      </text>
    </comment>
    <comment ref="BR3" authorId="0" shapeId="0" xr:uid="{00000000-0006-0000-0300-00004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Additional information on nucleic acid extraction method, that has not been shared in the given record.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000000"/>
            <rFont val="Calibri"/>
            <family val="2"/>
          </rPr>
          <t xml:space="preserve">free text
</t>
        </r>
      </text>
    </comment>
    <comment ref="BS3" authorId="0" shapeId="0" xr:uid="{00000000-0006-0000-0300-000046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BT3" authorId="0" shapeId="0" xr:uid="{00000000-0006-0000-0300-000047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Detection of the targeted taxon for each biological replicate, based on the specified detection criteria (detailed under the term 'detection_criteria'). Detected = 1, Not detected = 0. For projects employing multiple assays, this term should be specified separately for each assay. The term name should include the assay identifier in the format detected_notDetected_&lt;assay_name&gt; (e.g., detected_notDetected_eSERU5).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Boolean
</t>
        </r>
      </text>
    </comment>
    <comment ref="BU3" authorId="0" shapeId="0" xr:uid="{00000000-0006-0000-0300-00004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weather on the sampling day
</t>
        </r>
        <r>
          <rPr>
            <b/>
            <sz val="11"/>
            <color rgb="FF000000"/>
            <rFont val="Calibri"/>
            <family val="2"/>
          </rPr>
          <t xml:space="preserve">Example : </t>
        </r>
        <r>
          <rPr>
            <sz val="11"/>
            <color rgb="FF000000"/>
            <rFont val="Calibri"/>
            <family val="2"/>
          </rPr>
          <t xml:space="preserve">foggy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ALL</t>
        </r>
      </text>
    </comment>
    <comment ref="BV3" authorId="0" shapeId="0" xr:uid="{00000000-0006-0000-0300-00004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lesser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HostAssociated | MicrobialMatBiofilm | SymbiontAssociated</t>
        </r>
      </text>
    </comment>
    <comment ref="BW3" authorId="0" shapeId="0" xr:uid="{00000000-0006-0000-0300-00004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greater depth of a range of depth (vertical distance below the local surface) at which a sample was collected. For sediment or soil samples depth is measured from sediment or soil surface, respectively. If there is only one single point of depth (no range), the values in minimumDepthInMeters and maximumDepthInMeters are the same. Unit = meter
</t>
        </r>
        <r>
          <rPr>
            <b/>
            <sz val="11"/>
            <color rgb="FF000000"/>
            <rFont val="Calibri"/>
            <family val="2"/>
          </rPr>
          <t xml:space="preserve">Example : </t>
        </r>
        <r>
          <rPr>
            <sz val="11"/>
            <color rgb="FF000000"/>
            <rFont val="Calibri"/>
            <family val="2"/>
          </rPr>
          <t xml:space="preserve">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HostAssociated | MicrobialMatBiofilm | SymbiontAssociated</t>
        </r>
      </text>
    </comment>
    <comment ref="BX3" authorId="0" shapeId="0" xr:uid="{00000000-0006-0000-0300-00004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Measurement of total depth of water column. For example, if a sea surface water sample was collected at a sampling site where the water depth was 15m, enter 15 here and 0 under the terms minimumDepthInMeters and maximumDepthInMeters. Unit = meter
</t>
        </r>
        <r>
          <rPr>
            <b/>
            <sz val="11"/>
            <color rgb="FF000000"/>
            <rFont val="Calibri"/>
            <family val="2"/>
          </rPr>
          <t xml:space="preserve">Example : </t>
        </r>
        <r>
          <rPr>
            <sz val="11"/>
            <color rgb="FF000000"/>
            <rFont val="Calibri"/>
            <family val="2"/>
          </rPr>
          <t xml:space="preserve">15.0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HostAssociated | MicrobialMatBiofilm | SymbiontAssociated</t>
        </r>
      </text>
    </comment>
    <comment ref="BY3" authorId="0" shapeId="0" xr:uid="{00000000-0006-0000-0300-00004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Elevation of the sampling site is its height above a fixed reference point, most commonly the mean sea level. Elevation is mainly used when referring to points on the earth's surface, while altitude is used for points above the surface, such as an aircraft in flight or a spacecraft in orbit. i.e. 0m for seawater sample. Unit = meter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BZ3" authorId="0" shapeId="0" xr:uid="{00000000-0006-0000-0300-00004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Heights of objects such as airplanes, space shuttles, rockets, atmospheric balloons and heights of places such as atmospheric layers and clouds. It is used to measure the height of an object which is above the earth's surface. In this context, the altitude measurement is the vertical distance between the earth's surface above sea level and the sampled position in the air. Unit = meter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Air | HostAssociated</t>
        </r>
      </text>
    </comment>
    <comment ref="CA3" authorId="0" shapeId="0" xr:uid="{00000000-0006-0000-0300-00004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Temperature of the sample at the time of sampling in degree Celsius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ALL</t>
        </r>
      </text>
    </comment>
    <comment ref="CB3" authorId="0" shapeId="0" xr:uid="{00000000-0006-0000-0300-00004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chlorophyll. Unit = mg/m3
</t>
        </r>
        <r>
          <rPr>
            <b/>
            <sz val="11"/>
            <color rgb="FF000000"/>
            <rFont val="Calibri"/>
            <family val="2"/>
          </rPr>
          <t xml:space="preserve">Example : </t>
        </r>
        <r>
          <rPr>
            <sz val="11"/>
            <color rgb="FF000000"/>
            <rFont val="Calibri"/>
            <family val="2"/>
          </rPr>
          <t xml:space="preserve">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MicrobialMatBiofilm</t>
        </r>
      </text>
    </comment>
    <comment ref="CC3" authorId="0" shapeId="0" xr:uid="{00000000-0006-0000-0300-00005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Measurement of light intensity. Unit = lux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 | SymbiontAssociated</t>
        </r>
      </text>
    </comment>
    <comment ref="CD3" authorId="0" shapeId="0" xr:uid="{00000000-0006-0000-0300-00005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Ph measurement of the sample, or liquid portion of sample, or aqueous phase of the fluid. Unit = no unit
</t>
        </r>
        <r>
          <rPr>
            <b/>
            <sz val="11"/>
            <color rgb="FF000000"/>
            <rFont val="Calibri"/>
            <family val="2"/>
          </rPr>
          <t xml:space="preserve">Example : </t>
        </r>
        <r>
          <rPr>
            <sz val="11"/>
            <color rgb="FF000000"/>
            <rFont val="Calibri"/>
            <family val="2"/>
          </rPr>
          <t xml:space="preserve">7.2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MicrobialMatBiofilm</t>
        </r>
      </text>
    </comment>
    <comment ref="CE3" authorId="0" shapeId="0" xr:uid="{00000000-0006-0000-0300-00005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pH
</t>
        </r>
        <r>
          <rPr>
            <b/>
            <sz val="11"/>
            <color rgb="FF000000"/>
            <rFont val="Calibri"/>
            <family val="2"/>
          </rPr>
          <t xml:space="preserve">Example : </t>
        </r>
        <r>
          <rPr>
            <sz val="11"/>
            <color rgb="FF000000"/>
            <rFont val="Calibri"/>
            <family val="2"/>
          </rPr>
          <t xml:space="preserve">https://www.epa.gov/sites/default/files/2015-12/documents/9040c.pdf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MicrobialMatBiofilm</t>
        </r>
      </text>
    </comment>
    <comment ref="CF3" authorId="0" shapeId="0" xr:uid="{00000000-0006-0000-0300-00005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 = practical salinity unit (psu)
</t>
        </r>
        <r>
          <rPr>
            <b/>
            <sz val="11"/>
            <color rgb="FF000000"/>
            <rFont val="Calibri"/>
            <family val="2"/>
          </rPr>
          <t xml:space="preserve">Example : </t>
        </r>
        <r>
          <rPr>
            <sz val="11"/>
            <color rgb="FF000000"/>
            <rFont val="Calibri"/>
            <family val="2"/>
          </rPr>
          <t xml:space="preserve">25.0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HostAssociated | MicrobialMatBiofilm | SymbiontAssociated</t>
        </r>
      </text>
    </comment>
    <comment ref="CG3" authorId="0" shapeId="0" xr:uid="{00000000-0006-0000-0300-00005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suspended particulate matter. Unit = mg/L
</t>
        </r>
        <r>
          <rPr>
            <b/>
            <sz val="11"/>
            <color rgb="FF000000"/>
            <rFont val="Calibri"/>
            <family val="2"/>
          </rPr>
          <t xml:space="preserve">Example : </t>
        </r>
        <r>
          <rPr>
            <sz val="11"/>
            <color rgb="FF000000"/>
            <rFont val="Calibri"/>
            <family val="2"/>
          </rPr>
          <t xml:space="preserve">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t>
        </r>
      </text>
    </comment>
    <comment ref="CH3" authorId="0" shapeId="0" xr:uid="{00000000-0006-0000-0300-00005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Stage of tide
</t>
        </r>
        <r>
          <rPr>
            <b/>
            <sz val="11"/>
            <color rgb="FF000000"/>
            <rFont val="Calibri"/>
            <family val="2"/>
          </rPr>
          <t xml:space="preserve">Example : </t>
        </r>
        <r>
          <rPr>
            <sz val="11"/>
            <color rgb="FF000000"/>
            <rFont val="Calibri"/>
            <family val="2"/>
          </rPr>
          <t xml:space="preserve">high tide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Sediment</t>
        </r>
      </text>
    </comment>
    <comment ref="CI3" authorId="0" shapeId="0" xr:uid="{00000000-0006-0000-0300-00005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 of the amount of cloudiness or haziness in water caused by individual particles. Unit = nephelometric turbidity unit (ntu)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 | MicrobialMatBiofilm</t>
        </r>
      </text>
    </comment>
    <comment ref="CJ3" authorId="0" shapeId="0" xr:uid="{00000000-0006-0000-0300-00005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Measurement of magnitude and direction of flow within a fluid. Unit = m/s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Sediment</t>
        </r>
      </text>
    </comment>
    <comment ref="CK3" authorId="0" shapeId="0" xr:uid="{00000000-0006-0000-0300-00005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Amount of water vapour in the air, at the time of sampling relative to the maximum amount of water vapor the air can hold at a given temperature and pressure. Also known as relative humidity. Unit = %
</t>
        </r>
        <r>
          <rPr>
            <b/>
            <sz val="11"/>
            <color rgb="FF000000"/>
            <rFont val="Calibri"/>
            <family val="2"/>
          </rPr>
          <t xml:space="preserve">Example : </t>
        </r>
        <r>
          <rPr>
            <sz val="11"/>
            <color rgb="FF000000"/>
            <rFont val="Calibri"/>
            <family val="2"/>
          </rPr>
          <t xml:space="preserve">61.0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Air</t>
        </r>
      </text>
    </comment>
    <comment ref="CL3" authorId="0" shapeId="0" xr:uid="{00000000-0006-0000-0300-00005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and/or the amount of solar energy that arrives at a specific area of a surface at the time of sampling. i.e. fully exposed, partially shaded, cloud cover 20%, 1.36kW/m2/day
</t>
        </r>
        <r>
          <rPr>
            <b/>
            <sz val="11"/>
            <color rgb="FF000000"/>
            <rFont val="Calibri"/>
            <family val="2"/>
          </rPr>
          <t xml:space="preserve">Example : </t>
        </r>
        <r>
          <rPr>
            <sz val="11"/>
            <color rgb="FF000000"/>
            <rFont val="Calibri"/>
            <family val="2"/>
          </rPr>
          <t xml:space="preserve">1.36 kw/m2/day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t>
        </r>
      </text>
    </comment>
    <comment ref="CM3" authorId="0" shapeId="0" xr:uid="{00000000-0006-0000-0300-00005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Wind direction (the direction from which a wind originates) at the time of sampling
</t>
        </r>
        <r>
          <rPr>
            <b/>
            <sz val="11"/>
            <color rgb="FF000000"/>
            <rFont val="Calibri"/>
            <family val="2"/>
          </rPr>
          <t xml:space="preserve">Example : </t>
        </r>
        <r>
          <rPr>
            <sz val="11"/>
            <color rgb="FF000000"/>
            <rFont val="Calibri"/>
            <family val="2"/>
          </rPr>
          <t xml:space="preserve">NW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t>
        </r>
      </text>
    </comment>
    <comment ref="CN3" authorId="0" shapeId="0" xr:uid="{00000000-0006-0000-0300-00005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Speed of wind measured at the time of sampling. Unit = m/s
</t>
        </r>
        <r>
          <rPr>
            <b/>
            <sz val="11"/>
            <color rgb="FF000000"/>
            <rFont val="Calibri"/>
            <family val="2"/>
          </rPr>
          <t xml:space="preserve">Example : </t>
        </r>
        <r>
          <rPr>
            <sz val="11"/>
            <color rgb="FF000000"/>
            <rFont val="Calibri"/>
            <family val="2"/>
          </rPr>
          <t xml:space="preserve">5.14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t>
        </r>
      </text>
    </comment>
    <comment ref="CO3" authorId="0" shapeId="0" xr:uid="{00000000-0006-0000-0300-00005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scientific name of host species. i.e. predator species where a gut content sample was dissected from.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HostAssociated | SymbiontAssociated</t>
        </r>
      </text>
    </comment>
    <comment ref="CP3" authorId="0" shapeId="0" xr:uid="{00000000-0006-0000-0300-00005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Description of life stage of host. Select from UBERON's life cycle class (http://purl.obolibrary.org/obo/UBERON_0000104)
</t>
        </r>
        <r>
          <rPr>
            <b/>
            <sz val="11"/>
            <color rgb="FF000000"/>
            <rFont val="Calibri"/>
            <family val="2"/>
          </rPr>
          <t xml:space="preserve">Example : </t>
        </r>
        <r>
          <rPr>
            <sz val="11"/>
            <color rgb="FF000000"/>
            <rFont val="Calibri"/>
            <family val="2"/>
          </rPr>
          <t xml:space="preserve">juvenile stage [UBERON_0034919]
</t>
        </r>
        <r>
          <rPr>
            <b/>
            <sz val="11"/>
            <color rgb="FF000000"/>
            <rFont val="Calibri"/>
            <family val="2"/>
          </rPr>
          <t xml:space="preserve">Field type : </t>
        </r>
        <r>
          <rPr>
            <sz val="11"/>
            <color rgb="FFFF0000"/>
            <rFont val="Calibri"/>
            <family val="2"/>
          </rPr>
          <t xml:space="preserve">fixed format (termLabel [termID])
</t>
        </r>
        <r>
          <rPr>
            <b/>
            <sz val="11"/>
            <color rgb="FF000000"/>
            <rFont val="Calibri"/>
            <family val="2"/>
          </rPr>
          <t xml:space="preserve">Sample type(s) : </t>
        </r>
        <r>
          <rPr>
            <sz val="11"/>
            <color rgb="FF000000"/>
            <rFont val="Calibri"/>
            <family val="2"/>
          </rPr>
          <t>HostAssociated | SymbiontAssociated</t>
        </r>
      </text>
    </comment>
    <comment ref="CQ3" authorId="0" shapeId="0" xr:uid="{00000000-0006-0000-0300-00005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mass of the host at collection, the unit depends on host.
</t>
        </r>
        <r>
          <rPr>
            <b/>
            <sz val="11"/>
            <color rgb="FF000000"/>
            <rFont val="Calibri"/>
            <family val="2"/>
          </rPr>
          <t xml:space="preserve">Example : </t>
        </r>
        <r>
          <rPr>
            <sz val="11"/>
            <color rgb="FF000000"/>
            <rFont val="Calibri"/>
            <family val="2"/>
          </rPr>
          <t xml:space="preserve">58.0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R3" authorId="0" shapeId="0" xr:uid="{00000000-0006-0000-0300-00005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host_tot_mass
</t>
        </r>
        <r>
          <rPr>
            <b/>
            <sz val="11"/>
            <color rgb="FF000000"/>
            <rFont val="Calibri"/>
            <family val="2"/>
          </rPr>
          <t xml:space="preserve">Example : </t>
        </r>
        <r>
          <rPr>
            <sz val="11"/>
            <color rgb="FF000000"/>
            <rFont val="Calibri"/>
            <family val="2"/>
          </rPr>
          <t xml:space="preserve">g
</t>
        </r>
        <r>
          <rPr>
            <b/>
            <sz val="11"/>
            <color rgb="FF000000"/>
            <rFont val="Calibri"/>
            <family val="2"/>
          </rPr>
          <t xml:space="preserve">Field type : </t>
        </r>
        <r>
          <rPr>
            <sz val="11"/>
            <color rgb="FFFF0000"/>
            <rFont val="Calibri"/>
            <family val="2"/>
          </rPr>
          <t xml:space="preserve">controlled vocabulary (mg | g | kg | other:)
</t>
        </r>
        <r>
          <rPr>
            <b/>
            <sz val="11"/>
            <color rgb="FF000000"/>
            <rFont val="Calibri"/>
            <family val="2"/>
          </rPr>
          <t xml:space="preserve">Sample type(s) : </t>
        </r>
        <r>
          <rPr>
            <sz val="11"/>
            <color rgb="FF000000"/>
            <rFont val="Calibri"/>
            <family val="2"/>
          </rPr>
          <t>HostAssociated | SymbiontAssociated</t>
        </r>
      </text>
    </comment>
    <comment ref="CS3" authorId="0" shapeId="0" xr:uid="{00000000-0006-0000-0300-00006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height of subject
</t>
        </r>
        <r>
          <rPr>
            <b/>
            <sz val="11"/>
            <color rgb="FF000000"/>
            <rFont val="Calibri"/>
            <family val="2"/>
          </rPr>
          <t xml:space="preserve">Example : </t>
        </r>
        <r>
          <rPr>
            <sz val="11"/>
            <color rgb="FF000000"/>
            <rFont val="Calibri"/>
            <family val="2"/>
          </rPr>
          <t xml:space="preserve">135.0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T3" authorId="0" shapeId="0" xr:uid="{00000000-0006-0000-0300-00006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host_height
</t>
        </r>
        <r>
          <rPr>
            <b/>
            <sz val="11"/>
            <color rgb="FF000000"/>
            <rFont val="Calibri"/>
            <family val="2"/>
          </rPr>
          <t xml:space="preserve">Example : </t>
        </r>
        <r>
          <rPr>
            <sz val="11"/>
            <color rgb="FF000000"/>
            <rFont val="Calibri"/>
            <family val="2"/>
          </rPr>
          <t xml:space="preserve">cm
</t>
        </r>
        <r>
          <rPr>
            <b/>
            <sz val="11"/>
            <color rgb="FF000000"/>
            <rFont val="Calibri"/>
            <family val="2"/>
          </rPr>
          <t xml:space="preserve">Field type : </t>
        </r>
        <r>
          <rPr>
            <sz val="11"/>
            <color rgb="FFFF0000"/>
            <rFont val="Calibri"/>
            <family val="2"/>
          </rPr>
          <t xml:space="preserve">controlled vocabulary (mm | cm | m | other:)
</t>
        </r>
        <r>
          <rPr>
            <b/>
            <sz val="11"/>
            <color rgb="FF000000"/>
            <rFont val="Calibri"/>
            <family val="2"/>
          </rPr>
          <t xml:space="preserve">Sample type(s) : </t>
        </r>
        <r>
          <rPr>
            <sz val="11"/>
            <color rgb="FF000000"/>
            <rFont val="Calibri"/>
            <family val="2"/>
          </rPr>
          <t>HostAssociated | SymbiontAssociated</t>
        </r>
      </text>
    </comment>
    <comment ref="CU3" authorId="0" shapeId="0" xr:uid="{00000000-0006-0000-0300-00006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length of subject
</t>
        </r>
        <r>
          <rPr>
            <b/>
            <sz val="11"/>
            <color rgb="FF000000"/>
            <rFont val="Calibri"/>
            <family val="2"/>
          </rPr>
          <t xml:space="preserve">Example : </t>
        </r>
        <r>
          <rPr>
            <sz val="11"/>
            <color rgb="FF000000"/>
            <rFont val="Calibri"/>
            <family val="2"/>
          </rPr>
          <t xml:space="preserve">54.0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HostAssociated | SymbiontAssociated</t>
        </r>
      </text>
    </comment>
    <comment ref="CV3" authorId="0" shapeId="0" xr:uid="{00000000-0006-0000-0300-00006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host_length
</t>
        </r>
        <r>
          <rPr>
            <b/>
            <sz val="11"/>
            <color rgb="FF000000"/>
            <rFont val="Calibri"/>
            <family val="2"/>
          </rPr>
          <t xml:space="preserve">Example : </t>
        </r>
        <r>
          <rPr>
            <sz val="11"/>
            <color rgb="FF000000"/>
            <rFont val="Calibri"/>
            <family val="2"/>
          </rPr>
          <t xml:space="preserve">mm
</t>
        </r>
        <r>
          <rPr>
            <b/>
            <sz val="11"/>
            <color rgb="FF000000"/>
            <rFont val="Calibri"/>
            <family val="2"/>
          </rPr>
          <t xml:space="preserve">Field type : </t>
        </r>
        <r>
          <rPr>
            <sz val="11"/>
            <color rgb="FFFF0000"/>
            <rFont val="Calibri"/>
            <family val="2"/>
          </rPr>
          <t xml:space="preserve">controlled vocabulary (mm | cm | m | other:)
</t>
        </r>
        <r>
          <rPr>
            <b/>
            <sz val="11"/>
            <color rgb="FF000000"/>
            <rFont val="Calibri"/>
            <family val="2"/>
          </rPr>
          <t xml:space="preserve">Sample type(s) : </t>
        </r>
        <r>
          <rPr>
            <sz val="11"/>
            <color rgb="FF000000"/>
            <rFont val="Calibri"/>
            <family val="2"/>
          </rPr>
          <t>HostAssociated | SymbiontAssociated</t>
        </r>
      </text>
    </comment>
    <comment ref="CW3" authorId="0" shapeId="0" xr:uid="{00000000-0006-0000-0300-00006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Dissolved inorganic carbon concentration in the sample, typically measured after filtering the sample using a 0.45 micrometre filter
</t>
        </r>
        <r>
          <rPr>
            <b/>
            <sz val="11"/>
            <color rgb="FF000000"/>
            <rFont val="Calibri"/>
            <family val="2"/>
          </rPr>
          <t xml:space="preserve">Example : </t>
        </r>
        <r>
          <rPr>
            <sz val="11"/>
            <color rgb="FF000000"/>
            <rFont val="Calibri"/>
            <family val="2"/>
          </rPr>
          <t xml:space="preserve">2059.0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CX3" authorId="0" shapeId="0" xr:uid="{00000000-0006-0000-0300-00006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diss_inorg_carb
</t>
        </r>
        <r>
          <rPr>
            <b/>
            <sz val="11"/>
            <color rgb="FF000000"/>
            <rFont val="Calibri"/>
            <family val="2"/>
          </rPr>
          <t xml:space="preserve">Example : </t>
        </r>
        <r>
          <rPr>
            <sz val="11"/>
            <color rgb="FF000000"/>
            <rFont val="Calibri"/>
            <family val="2"/>
          </rPr>
          <t xml:space="preserve">mmol/kg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CY3" authorId="0" shapeId="0" xr:uid="{00000000-0006-0000-0300-00006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inorganic nitrogen
</t>
        </r>
        <r>
          <rPr>
            <b/>
            <sz val="11"/>
            <color rgb="FF000000"/>
            <rFont val="Calibri"/>
            <family val="2"/>
          </rPr>
          <t xml:space="preserve">Example : </t>
        </r>
        <r>
          <rPr>
            <sz val="11"/>
            <color rgb="FF000000"/>
            <rFont val="Calibri"/>
            <family val="2"/>
          </rPr>
          <t xml:space="preserve">761.0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CZ3" authorId="0" shapeId="0" xr:uid="{00000000-0006-0000-0300-00006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diss_inorg_nitro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A3" authorId="0" shapeId="0" xr:uid="{00000000-0006-0000-0300-00006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organic carbon in the sample, liquid portion of the sample, or aqueous phase of the fluid
</t>
        </r>
        <r>
          <rPr>
            <b/>
            <sz val="11"/>
            <color rgb="FF000000"/>
            <rFont val="Calibri"/>
            <family val="2"/>
          </rPr>
          <t xml:space="preserve">Example : </t>
        </r>
        <r>
          <rPr>
            <sz val="11"/>
            <color rgb="FF000000"/>
            <rFont val="Calibri"/>
            <family val="2"/>
          </rPr>
          <t xml:space="preserve">197.0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B3" authorId="0" shapeId="0" xr:uid="{00000000-0006-0000-0300-00006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diss_org_carb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C3" authorId="0" shapeId="0" xr:uid="{00000000-0006-0000-0300-00006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Dissolved organic nitrogen concentration measured as; total dissolved nitrogen - NH4 - NO3 - NO2
</t>
        </r>
        <r>
          <rPr>
            <b/>
            <sz val="11"/>
            <color rgb="FF000000"/>
            <rFont val="Calibri"/>
            <family val="2"/>
          </rPr>
          <t xml:space="preserve">Example : </t>
        </r>
        <r>
          <rPr>
            <sz val="11"/>
            <color rgb="FF000000"/>
            <rFont val="Calibri"/>
            <family val="2"/>
          </rPr>
          <t xml:space="preserve">0.05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D3" authorId="0" shapeId="0" xr:uid="{00000000-0006-0000-0300-00006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E3" authorId="0" shapeId="0" xr:uid="{00000000-0006-0000-0300-00006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dissolved oxygen
</t>
        </r>
        <r>
          <rPr>
            <b/>
            <sz val="11"/>
            <color rgb="FF000000"/>
            <rFont val="Calibri"/>
            <family val="2"/>
          </rPr>
          <t xml:space="preserve">Example : </t>
        </r>
        <r>
          <rPr>
            <sz val="11"/>
            <color rgb="FF000000"/>
            <rFont val="Calibri"/>
            <family val="2"/>
          </rPr>
          <t xml:space="preserve">175.0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F3" authorId="0" shapeId="0" xr:uid="{00000000-0006-0000-0300-00006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diss_oxygen
</t>
        </r>
        <r>
          <rPr>
            <b/>
            <sz val="11"/>
            <color rgb="FF000000"/>
            <rFont val="Calibri"/>
            <family val="2"/>
          </rPr>
          <t xml:space="preserve">Example : </t>
        </r>
        <r>
          <rPr>
            <sz val="11"/>
            <color rgb="FF000000"/>
            <rFont val="Calibri"/>
            <family val="2"/>
          </rPr>
          <t xml:space="preserve">mmol/kg
</t>
        </r>
        <r>
          <rPr>
            <b/>
            <sz val="11"/>
            <color rgb="FF000000"/>
            <rFont val="Calibri"/>
            <family val="2"/>
          </rPr>
          <t xml:space="preserve">Field type : </t>
        </r>
        <r>
          <rPr>
            <sz val="11"/>
            <color rgb="FFFF0000"/>
            <rFont val="Calibri"/>
            <family val="2"/>
          </rPr>
          <t xml:space="preserve">controlled vocabulary (mg/L | µg/L | µM | mol/m3 | mmol/m3 | µmol/m3 | mol/L | mmol/L | µmol/L | mg/L | µg/L | mL/L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G3" authorId="0" shapeId="0" xr:uid="{00000000-0006-0000-0300-00006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dissolved nitrogen concentration, reported as nitrogen, measured by: total dissolved nitrogen = NH4 + NO3NO2 + dissolved organic nitrogen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H3" authorId="0" shapeId="0" xr:uid="{00000000-0006-0000-0300-00006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tot_diss_nitro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I3" authorId="0" shapeId="0" xr:uid="{00000000-0006-0000-0300-00007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inorganic nitrogen content
</t>
        </r>
        <r>
          <rPr>
            <b/>
            <sz val="11"/>
            <color rgb="FF000000"/>
            <rFont val="Calibri"/>
            <family val="2"/>
          </rPr>
          <t xml:space="preserve">Example : </t>
        </r>
        <r>
          <rPr>
            <sz val="11"/>
            <color rgb="FF000000"/>
            <rFont val="Calibri"/>
            <family val="2"/>
          </rPr>
          <t xml:space="preserve">40.0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J3" authorId="0" shapeId="0" xr:uid="{00000000-0006-0000-0300-00007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tot_inorg_nitro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K3" authorId="0" shapeId="0" xr:uid="{00000000-0006-0000-0300-00007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nitrogen concentration of water samples, calculated by: total nitrogen = total dissolved nitrogen + particulate nitrogen. Can also be measured without filtering, reported as nitrogen
</t>
        </r>
        <r>
          <rPr>
            <b/>
            <sz val="11"/>
            <color rgb="FF000000"/>
            <rFont val="Calibri"/>
            <family val="2"/>
          </rPr>
          <t xml:space="preserve">Example : </t>
        </r>
        <r>
          <rPr>
            <sz val="11"/>
            <color rgb="FF000000"/>
            <rFont val="Calibri"/>
            <family val="2"/>
          </rPr>
          <t xml:space="preserve">50.0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L3" authorId="0" shapeId="0" xr:uid="{00000000-0006-0000-0300-00007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M3" authorId="0" shapeId="0" xr:uid="{00000000-0006-0000-0300-00007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particulate carbon content
</t>
        </r>
        <r>
          <rPr>
            <b/>
            <sz val="11"/>
            <color rgb="FF000000"/>
            <rFont val="Calibri"/>
            <family val="2"/>
          </rPr>
          <t xml:space="preserve">Example : </t>
        </r>
        <r>
          <rPr>
            <sz val="11"/>
            <color rgb="FF000000"/>
            <rFont val="Calibri"/>
            <family val="2"/>
          </rPr>
          <t xml:space="preserve">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N3" authorId="0" shapeId="0" xr:uid="{00000000-0006-0000-0300-00007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tot_part_carb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O3" authorId="0" shapeId="0" xr:uid="{00000000-0006-0000-0300-00007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organic carbon content
</t>
        </r>
        <r>
          <rPr>
            <b/>
            <sz val="11"/>
            <color rgb="FF000000"/>
            <rFont val="Calibri"/>
            <family val="2"/>
          </rPr>
          <t xml:space="preserve">Example : </t>
        </r>
        <r>
          <rPr>
            <sz val="11"/>
            <color rgb="FF000000"/>
            <rFont val="Calibri"/>
            <family val="2"/>
          </rPr>
          <t xml:space="preserve">0.02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P3" authorId="0" shapeId="0" xr:uid="{00000000-0006-0000-0300-00007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tot_org_carb
</t>
        </r>
        <r>
          <rPr>
            <b/>
            <sz val="11"/>
            <color rgb="FF000000"/>
            <rFont val="Calibri"/>
            <family val="2"/>
          </rPr>
          <t xml:space="preserve">Example : </t>
        </r>
        <r>
          <rPr>
            <sz val="11"/>
            <color rgb="FF000000"/>
            <rFont val="Calibri"/>
            <family val="2"/>
          </rPr>
          <t xml:space="preserve">other:gram Carbon per kg sample material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Q3" authorId="0" shapeId="0" xr:uid="{00000000-0006-0000-0300-00007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total organic carbon
</t>
        </r>
        <r>
          <rPr>
            <b/>
            <sz val="11"/>
            <color rgb="FF000000"/>
            <rFont val="Calibri"/>
            <family val="2"/>
          </rPr>
          <t xml:space="preserve">Example : </t>
        </r>
        <r>
          <rPr>
            <sz val="11"/>
            <color rgb="FF000000"/>
            <rFont val="Calibri"/>
            <family val="2"/>
          </rPr>
          <t xml:space="preserve">https://www.epa.gov/sites/default/files/2015-12/documents/9060a.pdf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 | MicrobialMatBiofilm</t>
        </r>
      </text>
    </comment>
    <comment ref="DR3" authorId="0" shapeId="0" xr:uid="{00000000-0006-0000-0300-00007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nitrogen content of the sample
</t>
        </r>
        <r>
          <rPr>
            <b/>
            <sz val="11"/>
            <color rgb="FF000000"/>
            <rFont val="Calibri"/>
            <family val="2"/>
          </rPr>
          <t xml:space="preserve">Example : </t>
        </r>
        <r>
          <rPr>
            <sz val="11"/>
            <color rgb="FF000000"/>
            <rFont val="Calibri"/>
            <family val="2"/>
          </rPr>
          <t xml:space="preserve">35.0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S3" authorId="0" shapeId="0" xr:uid="{00000000-0006-0000-0300-00007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tot_nitro_content
</t>
        </r>
        <r>
          <rPr>
            <b/>
            <sz val="11"/>
            <color rgb="FF000000"/>
            <rFont val="Calibri"/>
            <family val="2"/>
          </rPr>
          <t xml:space="preserve">Example : </t>
        </r>
        <r>
          <rPr>
            <sz val="11"/>
            <color rgb="FF000000"/>
            <rFont val="Calibri"/>
            <family val="2"/>
          </rPr>
          <t xml:space="preserve">other:mg N/kg of soil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T3" authorId="0" shapeId="0" xr:uid="{00000000-0006-0000-0300-00007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Reference or method used in determining the total nitrogen
</t>
        </r>
        <r>
          <rPr>
            <b/>
            <sz val="11"/>
            <color rgb="FF000000"/>
            <rFont val="Calibri"/>
            <family val="2"/>
          </rPr>
          <t xml:space="preserve">Example : </t>
        </r>
        <r>
          <rPr>
            <sz val="11"/>
            <color rgb="FF000000"/>
            <rFont val="Calibri"/>
            <family val="2"/>
          </rPr>
          <t xml:space="preserve">https://currentprotocols.onlinelibrary.wiley.com/doi/abs/10.1002/0471142913.fab0102s00
</t>
        </r>
        <r>
          <rPr>
            <b/>
            <sz val="11"/>
            <color rgb="FF000000"/>
            <rFont val="Calibri"/>
            <family val="2"/>
          </rPr>
          <t xml:space="preserve">Field type : </t>
        </r>
        <r>
          <rPr>
            <sz val="11"/>
            <color rgb="FF000000"/>
            <rFont val="Calibri"/>
            <family val="2"/>
          </rPr>
          <t xml:space="preserve">free text
</t>
        </r>
        <r>
          <rPr>
            <b/>
            <sz val="11"/>
            <color rgb="FF000000"/>
            <rFont val="Calibri"/>
            <family val="2"/>
          </rPr>
          <t xml:space="preserve">Sample type(s) : </t>
        </r>
        <r>
          <rPr>
            <sz val="11"/>
            <color rgb="FF000000"/>
            <rFont val="Calibri"/>
            <family val="2"/>
          </rPr>
          <t>Water | Soil | Sediment | Air | MicrobialMatBiofilm</t>
        </r>
      </text>
    </comment>
    <comment ref="DU3" authorId="0" shapeId="0" xr:uid="{00000000-0006-0000-0300-00007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Total carbon content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V3" authorId="0" shapeId="0" xr:uid="{00000000-0006-0000-0300-00007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tot_carb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W3" authorId="0" shapeId="0" xr:uid="{00000000-0006-0000-0300-00007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particulate organic carbon
</t>
        </r>
        <r>
          <rPr>
            <b/>
            <sz val="11"/>
            <color rgb="FF000000"/>
            <rFont val="Calibri"/>
            <family val="2"/>
          </rPr>
          <t xml:space="preserve">Example : </t>
        </r>
        <r>
          <rPr>
            <sz val="11"/>
            <color rgb="FF000000"/>
            <rFont val="Calibri"/>
            <family val="2"/>
          </rPr>
          <t xml:space="preserve">1.92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X3" authorId="0" shapeId="0" xr:uid="{00000000-0006-0000-0300-00007F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part_org_carb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DY3" authorId="0" shapeId="0" xr:uid="{00000000-0006-0000-0300-000080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particulate organic nitrogen
</t>
        </r>
        <r>
          <rPr>
            <b/>
            <sz val="11"/>
            <color rgb="FF000000"/>
            <rFont val="Calibri"/>
            <family val="2"/>
          </rPr>
          <t xml:space="preserve">Example : </t>
        </r>
        <r>
          <rPr>
            <sz val="11"/>
            <color rgb="FF000000"/>
            <rFont val="Calibri"/>
            <family val="2"/>
          </rPr>
          <t xml:space="preserve">0.3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DZ3" authorId="0" shapeId="0" xr:uid="{00000000-0006-0000-0300-000081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part_org_nitro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A3" authorId="0" shapeId="0" xr:uid="{00000000-0006-0000-0300-000082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nitrate in the sample
</t>
        </r>
        <r>
          <rPr>
            <b/>
            <sz val="11"/>
            <color rgb="FF000000"/>
            <rFont val="Calibri"/>
            <family val="2"/>
          </rPr>
          <t xml:space="preserve">Example : </t>
        </r>
        <r>
          <rPr>
            <sz val="11"/>
            <color rgb="FF000000"/>
            <rFont val="Calibri"/>
            <family val="2"/>
          </rPr>
          <t xml:space="preserve">65.0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B3" authorId="0" shapeId="0" xr:uid="{00000000-0006-0000-0300-000083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nitrate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C3" authorId="0" shapeId="0" xr:uid="{00000000-0006-0000-0300-00008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nitrite in the sample
</t>
        </r>
        <r>
          <rPr>
            <b/>
            <sz val="11"/>
            <color rgb="FF000000"/>
            <rFont val="Calibri"/>
            <family val="2"/>
          </rPr>
          <t xml:space="preserve">Example : </t>
        </r>
        <r>
          <rPr>
            <sz val="11"/>
            <color rgb="FF000000"/>
            <rFont val="Calibri"/>
            <family val="2"/>
          </rPr>
          <t xml:space="preserve">0.5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D3" authorId="0" shapeId="0" xr:uid="{00000000-0006-0000-0300-00008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nitrite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E3" authorId="0" shapeId="0" xr:uid="{00000000-0006-0000-0300-000086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nitrogen (total)
</t>
        </r>
        <r>
          <rPr>
            <b/>
            <sz val="11"/>
            <color rgb="FF000000"/>
            <rFont val="Calibri"/>
            <family val="2"/>
          </rPr>
          <t xml:space="preserve">Example : </t>
        </r>
        <r>
          <rPr>
            <sz val="11"/>
            <color rgb="FF000000"/>
            <rFont val="Calibri"/>
            <family val="2"/>
          </rPr>
          <t xml:space="preserve">4.2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F3" authorId="0" shapeId="0" xr:uid="{00000000-0006-0000-0300-00008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G3" authorId="0" shapeId="0" xr:uid="{00000000-0006-0000-0300-000088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carbon
</t>
        </r>
        <r>
          <rPr>
            <b/>
            <sz val="11"/>
            <color rgb="FF000000"/>
            <rFont val="Calibri"/>
            <family val="2"/>
          </rPr>
          <t xml:space="preserve">Example : </t>
        </r>
        <r>
          <rPr>
            <sz val="11"/>
            <color rgb="FF000000"/>
            <rFont val="Calibri"/>
            <family val="2"/>
          </rPr>
          <t xml:space="preserve">1.5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H3" authorId="0" shapeId="0" xr:uid="{00000000-0006-0000-0300-00008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org_carb
</t>
        </r>
        <r>
          <rPr>
            <b/>
            <sz val="11"/>
            <color rgb="FF000000"/>
            <rFont val="Calibri"/>
            <family val="2"/>
          </rPr>
          <t xml:space="preserve">Example : </t>
        </r>
        <r>
          <rPr>
            <sz val="11"/>
            <color rgb="FF000000"/>
            <rFont val="Calibri"/>
            <family val="2"/>
          </rPr>
          <t xml:space="preserve">µg/L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I3" authorId="0" shapeId="0" xr:uid="{00000000-0006-0000-0300-00008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matter
</t>
        </r>
        <r>
          <rPr>
            <b/>
            <sz val="11"/>
            <color rgb="FF000000"/>
            <rFont val="Calibri"/>
            <family val="2"/>
          </rPr>
          <t xml:space="preserve">Example : </t>
        </r>
        <r>
          <rPr>
            <sz val="11"/>
            <color rgb="FF000000"/>
            <rFont val="Calibri"/>
            <family val="2"/>
          </rPr>
          <t xml:space="preserve">1.75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J3" authorId="0" shapeId="0" xr:uid="{00000000-0006-0000-0300-00008B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org_matter
</t>
        </r>
        <r>
          <rPr>
            <b/>
            <sz val="11"/>
            <color rgb="FF000000"/>
            <rFont val="Calibri"/>
            <family val="2"/>
          </rPr>
          <t xml:space="preserve">Example : </t>
        </r>
        <r>
          <rPr>
            <sz val="11"/>
            <color rgb="FF000000"/>
            <rFont val="Calibri"/>
            <family val="2"/>
          </rPr>
          <t xml:space="preserve">other:mg/m3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 ref="EK3" authorId="0" shapeId="0" xr:uid="{00000000-0006-0000-0300-00008C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Concentration of organic nitrogen
</t>
        </r>
        <r>
          <rPr>
            <b/>
            <sz val="11"/>
            <color rgb="FF000000"/>
            <rFont val="Calibri"/>
            <family val="2"/>
          </rPr>
          <t xml:space="preserve">Example : </t>
        </r>
        <r>
          <rPr>
            <sz val="11"/>
            <color rgb="FF000000"/>
            <rFont val="Calibri"/>
            <family val="2"/>
          </rPr>
          <t xml:space="preserve">4.0
</t>
        </r>
        <r>
          <rPr>
            <b/>
            <sz val="11"/>
            <color rgb="FF000000"/>
            <rFont val="Calibri"/>
            <family val="2"/>
          </rPr>
          <t xml:space="preserve">Field type : </t>
        </r>
        <r>
          <rPr>
            <sz val="11"/>
            <color rgb="FF000000"/>
            <rFont val="Calibri"/>
            <family val="2"/>
          </rPr>
          <t xml:space="preserve">numeric
</t>
        </r>
        <r>
          <rPr>
            <b/>
            <sz val="11"/>
            <color rgb="FF000000"/>
            <rFont val="Calibri"/>
            <family val="2"/>
          </rPr>
          <t xml:space="preserve">Sample type(s) : </t>
        </r>
        <r>
          <rPr>
            <sz val="11"/>
            <color rgb="FF000000"/>
            <rFont val="Calibri"/>
            <family val="2"/>
          </rPr>
          <t>Water | Soil | Sediment | Air | MicrobialMatBiofilm</t>
        </r>
      </text>
    </comment>
    <comment ref="EL3" authorId="0" shapeId="0" xr:uid="{00000000-0006-0000-0300-00008D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The unit of org_nitro
</t>
        </r>
        <r>
          <rPr>
            <b/>
            <sz val="11"/>
            <color rgb="FF000000"/>
            <rFont val="Calibri"/>
            <family val="2"/>
          </rPr>
          <t xml:space="preserve">Example : </t>
        </r>
        <r>
          <rPr>
            <sz val="11"/>
            <color rgb="FF000000"/>
            <rFont val="Calibri"/>
            <family val="2"/>
          </rPr>
          <t xml:space="preserve">µmol/L
</t>
        </r>
        <r>
          <rPr>
            <b/>
            <sz val="11"/>
            <color rgb="FF000000"/>
            <rFont val="Calibri"/>
            <family val="2"/>
          </rPr>
          <t xml:space="preserve">Field type : </t>
        </r>
        <r>
          <rPr>
            <sz val="11"/>
            <color rgb="FFFF0000"/>
            <rFont val="Calibri"/>
            <family val="2"/>
          </rPr>
          <t xml:space="preserve">controlled vocabulary (µM | mol/m3 | mmol/m3 | µmol/m3 | mol/L | mmol/L | µmol/L | mg/L | µg/L |  µmol/kg | mmol/kg | parts per million | other:)
</t>
        </r>
        <r>
          <rPr>
            <b/>
            <sz val="11"/>
            <color rgb="FF000000"/>
            <rFont val="Calibri"/>
            <family val="2"/>
          </rPr>
          <t xml:space="preserve">Sample type(s) : </t>
        </r>
        <r>
          <rPr>
            <sz val="11"/>
            <color rgb="FF000000"/>
            <rFont val="Calibri"/>
            <family val="2"/>
          </rPr>
          <t>Water | Soil | Sediment | Air | MicrobialMatBiofilm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4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An integer uniquely identifying a specific PCR technical replicate within a sample.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integer
</t>
        </r>
      </text>
    </comment>
    <comment ref="C3" authorId="0" shapeId="0" xr:uid="{00000000-0006-0000-0400-000002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D3" authorId="0" shapeId="0" xr:uid="{00000000-0006-0000-0400-000003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E3" authorId="0" shapeId="0" xr:uid="{00000000-0006-0000-0400-000004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t>
        </r>
        <r>
          <rPr>
            <b/>
            <sz val="11"/>
            <color rgb="FF000000"/>
            <rFont val="Calibri"/>
            <family val="2"/>
          </rPr>
          <t xml:space="preserve">Example : </t>
        </r>
        <r>
          <rPr>
            <sz val="11"/>
            <color rgb="FF000000"/>
            <rFont val="Calibri"/>
            <family val="2"/>
          </rPr>
          <t xml:space="preserve">37.9450950622558
</t>
        </r>
        <r>
          <rPr>
            <b/>
            <sz val="11"/>
            <color rgb="FF000000"/>
            <rFont val="Calibri"/>
            <family val="2"/>
          </rPr>
          <t xml:space="preserve">Field type : </t>
        </r>
        <r>
          <rPr>
            <sz val="11"/>
            <color rgb="FF000000"/>
            <rFont val="Calibri"/>
            <family val="2"/>
          </rPr>
          <t xml:space="preserve">numeric
</t>
        </r>
      </text>
    </comment>
    <comment ref="F3" authorId="0" shapeId="0" xr:uid="{00000000-0006-0000-0400-000005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Relative Fluorescence Units (RFU). No unit
</t>
        </r>
        <r>
          <rPr>
            <b/>
            <sz val="11"/>
            <color rgb="FF000000"/>
            <rFont val="Calibri"/>
            <family val="2"/>
          </rPr>
          <t xml:space="preserve">Example : </t>
        </r>
        <r>
          <rPr>
            <sz val="11"/>
            <color rgb="FF000000"/>
            <rFont val="Calibri"/>
            <family val="2"/>
          </rPr>
          <t xml:space="preserve">7862.41
</t>
        </r>
        <r>
          <rPr>
            <b/>
            <sz val="11"/>
            <color rgb="FF000000"/>
            <rFont val="Calibri"/>
            <family val="2"/>
          </rPr>
          <t xml:space="preserve">Field type : </t>
        </r>
        <r>
          <rPr>
            <sz val="11"/>
            <color rgb="FF000000"/>
            <rFont val="Calibri"/>
            <family val="2"/>
          </rPr>
          <t xml:space="preserve">numeric
</t>
        </r>
      </text>
    </comment>
    <comment ref="G3" authorId="0" shapeId="0" xr:uid="{00000000-0006-0000-04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to output estimatedNumberOfCopies
</t>
        </r>
        <r>
          <rPr>
            <b/>
            <sz val="11"/>
            <color rgb="FF000000"/>
            <rFont val="Calibri"/>
            <family val="2"/>
          </rPr>
          <t xml:space="preserve">Example : </t>
        </r>
        <r>
          <rPr>
            <sz val="11"/>
            <color rgb="FF000000"/>
            <rFont val="Calibri"/>
            <family val="2"/>
          </rPr>
          <t xml:space="preserve">Ct/Cq with standard curve | Ct/Cq with standard bionomial data
</t>
        </r>
        <r>
          <rPr>
            <b/>
            <sz val="11"/>
            <color rgb="FF000000"/>
            <rFont val="Calibri"/>
            <family val="2"/>
          </rPr>
          <t xml:space="preserve">Field type : </t>
        </r>
        <r>
          <rPr>
            <sz val="11"/>
            <color rgb="FFFF0000"/>
            <rFont val="Calibri"/>
            <family val="2"/>
          </rPr>
          <t xml:space="preserve">controlled vocabulary (Ct/Cq with standard curve | Ct/Cq with standard bionomial data | direct output from the PCR instrument used | gel fluorescence intensities | other:)
</t>
        </r>
      </text>
    </comment>
    <comment ref="H3" authorId="0" shapeId="0" xr:uid="{00000000-0006-0000-0400-000007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Estimated concentration of target molecules. Describe the approach taken to estimate it under the term estaimtedNumberOfCopies_method.
</t>
        </r>
        <r>
          <rPr>
            <b/>
            <sz val="11"/>
            <color rgb="FF000000"/>
            <rFont val="Calibri"/>
            <family val="2"/>
          </rPr>
          <t xml:space="preserve">Example : </t>
        </r>
        <r>
          <rPr>
            <sz val="11"/>
            <color rgb="FF000000"/>
            <rFont val="Calibri"/>
            <family val="2"/>
          </rPr>
          <t xml:space="preserve">35.92426489978709
</t>
        </r>
        <r>
          <rPr>
            <b/>
            <sz val="11"/>
            <color rgb="FF000000"/>
            <rFont val="Calibri"/>
            <family val="2"/>
          </rPr>
          <t xml:space="preserve">Field type : </t>
        </r>
        <r>
          <rPr>
            <sz val="11"/>
            <color rgb="FF000000"/>
            <rFont val="Calibri"/>
            <family val="2"/>
          </rPr>
          <t xml:space="preserve">numeric
</t>
        </r>
      </text>
    </comment>
    <comment ref="I3" authorId="0" shapeId="0" xr:uid="{00000000-0006-0000-0400-000008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Unit for estimatedNumberOfCopies
</t>
        </r>
        <r>
          <rPr>
            <b/>
            <sz val="11"/>
            <color rgb="FF000000"/>
            <rFont val="Calibri"/>
            <family val="2"/>
          </rPr>
          <t xml:space="preserve">Example : </t>
        </r>
        <r>
          <rPr>
            <sz val="11"/>
            <color rgb="FF000000"/>
            <rFont val="Calibri"/>
            <family val="2"/>
          </rPr>
          <t xml:space="preserve">other:copies/mg of sediment sample
</t>
        </r>
        <r>
          <rPr>
            <b/>
            <sz val="11"/>
            <color rgb="FF000000"/>
            <rFont val="Calibri"/>
            <family val="2"/>
          </rPr>
          <t xml:space="preserve">Field type : </t>
        </r>
        <r>
          <rPr>
            <sz val="11"/>
            <color rgb="FFFF0000"/>
            <rFont val="Calibri"/>
            <family val="2"/>
          </rPr>
          <t xml:space="preserve">controlled vocabulary (copies/reaction | copies/µL of DNA extract | copies/µL of reaction | ng/reaction | ng/µL of DNA extract | ng/µL of reaction | other:)
</t>
        </r>
      </text>
    </comment>
    <comment ref="J3" authorId="0" shapeId="0" xr:uid="{00000000-0006-0000-0400-000009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measure of variability (e.g., standard error) associated with the estimatedNumberOfCopies value, applicable when the estimatedNumberOfCopies represents an average calculated from multiple technical replicates per sample.
</t>
        </r>
        <r>
          <rPr>
            <b/>
            <sz val="11"/>
            <color rgb="FF000000"/>
            <rFont val="Calibri"/>
            <family val="2"/>
          </rPr>
          <t xml:space="preserve">Example : </t>
        </r>
        <r>
          <rPr>
            <sz val="11"/>
            <color rgb="FF000000"/>
            <rFont val="Calibri"/>
            <family val="2"/>
          </rPr>
          <t xml:space="preserve">0.14
</t>
        </r>
        <r>
          <rPr>
            <b/>
            <sz val="11"/>
            <color rgb="FF000000"/>
            <rFont val="Calibri"/>
            <family val="2"/>
          </rPr>
          <t xml:space="preserve">Field type : </t>
        </r>
        <r>
          <rPr>
            <sz val="11"/>
            <color rgb="FF000000"/>
            <rFont val="Calibri"/>
            <family val="2"/>
          </rPr>
          <t xml:space="preserve">numeric
</t>
        </r>
      </text>
    </comment>
    <comment ref="K3" authorId="0" shapeId="0" xr:uid="{00000000-0006-0000-04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type of variability measure (e.g., standard error, standard deviation) used to describe estimatedNumberOfCopies_error.
</t>
        </r>
        <r>
          <rPr>
            <b/>
            <sz val="11"/>
            <color rgb="FF000000"/>
            <rFont val="Calibri"/>
            <family val="2"/>
          </rPr>
          <t xml:space="preserve">Example : </t>
        </r>
        <r>
          <rPr>
            <sz val="11"/>
            <color rgb="FF000000"/>
            <rFont val="Calibri"/>
            <family val="2"/>
          </rPr>
          <t xml:space="preserve">standard error
</t>
        </r>
        <r>
          <rPr>
            <b/>
            <sz val="11"/>
            <color rgb="FF000000"/>
            <rFont val="Calibri"/>
            <family val="2"/>
          </rPr>
          <t xml:space="preserve">Field type : </t>
        </r>
        <r>
          <rPr>
            <sz val="11"/>
            <color rgb="FFFF0000"/>
            <rFont val="Calibri"/>
            <family val="2"/>
          </rPr>
          <t xml:space="preserve">controlled vocabulary (standard error | standard deviation | 95% confidence interval | other:)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5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An integer uniquely identifying a specific PCR technical replicate within a sample.
</t>
        </r>
        <r>
          <rPr>
            <b/>
            <sz val="11"/>
            <color rgb="FF000000"/>
            <rFont val="Calibri"/>
            <family val="2"/>
          </rPr>
          <t xml:space="preserve">Example : </t>
        </r>
        <r>
          <rPr>
            <sz val="11"/>
            <color rgb="FF000000"/>
            <rFont val="Calibri"/>
            <family val="2"/>
          </rPr>
          <t xml:space="preserve">1
</t>
        </r>
        <r>
          <rPr>
            <b/>
            <sz val="11"/>
            <color rgb="FF000000"/>
            <rFont val="Calibri"/>
            <family val="2"/>
          </rPr>
          <t xml:space="preserve">Field type : </t>
        </r>
        <r>
          <rPr>
            <sz val="11"/>
            <color rgb="FF000000"/>
            <rFont val="Calibri"/>
            <family val="2"/>
          </rPr>
          <t xml:space="preserve">integer
</t>
        </r>
      </text>
    </comment>
    <comment ref="C3" authorId="0" shapeId="0" xr:uid="{00000000-0006-0000-0500-000002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D3" authorId="0" shapeId="0" xr:uid="{00000000-0006-0000-0500-000003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E3" authorId="0" shapeId="0" xr:uid="{00000000-0006-0000-0500-000004000000}">
      <text>
        <r>
          <rPr>
            <b/>
            <sz val="11"/>
            <color rgb="FF000000"/>
            <rFont val="Calibri"/>
            <family val="2"/>
          </rPr>
          <t xml:space="preserve">Requirement level : </t>
        </r>
        <r>
          <rPr>
            <b/>
            <sz val="11"/>
            <color rgb="FFFF0000"/>
            <rFont val="Calibri"/>
            <family val="2"/>
          </rPr>
          <t xml:space="preserve">Mandatory (if samp_category = PCR standard)
</t>
        </r>
        <r>
          <rPr>
            <b/>
            <sz val="11"/>
            <color rgb="FF000000"/>
            <rFont val="Calibri"/>
            <family val="2"/>
          </rPr>
          <t xml:space="preserve">Description : </t>
        </r>
        <r>
          <rPr>
            <sz val="11"/>
            <color rgb="FF000000"/>
            <rFont val="Calibri"/>
            <family val="2"/>
          </rPr>
          <t xml:space="preserve">Input quantity of qPCR standard DNA
</t>
        </r>
        <r>
          <rPr>
            <b/>
            <sz val="11"/>
            <color rgb="FF000000"/>
            <rFont val="Calibri"/>
            <family val="2"/>
          </rPr>
          <t xml:space="preserve">Example : </t>
        </r>
        <r>
          <rPr>
            <sz val="11"/>
            <color rgb="FF000000"/>
            <rFont val="Calibri"/>
            <family val="2"/>
          </rPr>
          <t xml:space="preserve">2500.0
</t>
        </r>
        <r>
          <rPr>
            <b/>
            <sz val="11"/>
            <color rgb="FF000000"/>
            <rFont val="Calibri"/>
            <family val="2"/>
          </rPr>
          <t xml:space="preserve">Field type : </t>
        </r>
        <r>
          <rPr>
            <sz val="11"/>
            <color rgb="FF000000"/>
            <rFont val="Calibri"/>
            <family val="2"/>
          </rPr>
          <t xml:space="preserve">numeric
</t>
        </r>
      </text>
    </comment>
    <comment ref="F3" authorId="0" shapeId="0" xr:uid="{00000000-0006-0000-0500-000005000000}">
      <text>
        <r>
          <rPr>
            <b/>
            <sz val="11"/>
            <color rgb="FF000000"/>
            <rFont val="Calibri"/>
            <family val="2"/>
          </rPr>
          <t xml:space="preserve">Requirement level : </t>
        </r>
        <r>
          <rPr>
            <b/>
            <sz val="11"/>
            <color rgb="FFFF0000"/>
            <rFont val="Calibri"/>
            <family val="2"/>
          </rPr>
          <t xml:space="preserve">Mandatory (if samp_category = PCR standard)
</t>
        </r>
        <r>
          <rPr>
            <b/>
            <sz val="11"/>
            <color rgb="FF000000"/>
            <rFont val="Calibri"/>
            <family val="2"/>
          </rPr>
          <t xml:space="preserve">Description : </t>
        </r>
        <r>
          <rPr>
            <sz val="11"/>
            <color rgb="FF000000"/>
            <rFont val="Calibri"/>
            <family val="2"/>
          </rPr>
          <t xml:space="preserve">Unit for input quantity of qPCR standard DNA
</t>
        </r>
        <r>
          <rPr>
            <b/>
            <sz val="11"/>
            <color rgb="FF000000"/>
            <rFont val="Calibri"/>
            <family val="2"/>
          </rPr>
          <t xml:space="preserve">Example : </t>
        </r>
        <r>
          <rPr>
            <sz val="11"/>
            <color rgb="FF000000"/>
            <rFont val="Calibri"/>
            <family val="2"/>
          </rPr>
          <t xml:space="preserve">NA
</t>
        </r>
        <r>
          <rPr>
            <b/>
            <sz val="11"/>
            <color rgb="FF000000"/>
            <rFont val="Calibri"/>
            <family val="2"/>
          </rPr>
          <t xml:space="preserve">Field type : </t>
        </r>
        <r>
          <rPr>
            <sz val="11"/>
            <color rgb="FFFF0000"/>
            <rFont val="Calibri"/>
            <family val="2"/>
          </rPr>
          <t xml:space="preserve">controlled vocabulary (copies/reaction | copies/µL of DNA extract | copies/µL of reaction | ng/reaction | ng/µL of DNA extract | ng/µL of reaction | other:)
</t>
        </r>
      </text>
    </comment>
    <comment ref="G3" authorId="0" shapeId="0" xr:uid="{00000000-0006-0000-0500-000006000000}">
      <text>
        <r>
          <rPr>
            <b/>
            <sz val="11"/>
            <color rgb="FF000000"/>
            <rFont val="Calibri"/>
            <family val="2"/>
          </rPr>
          <t xml:space="preserve">Requirement level : </t>
        </r>
        <r>
          <rPr>
            <b/>
            <sz val="11"/>
            <color rgb="FFFF0000"/>
            <rFont val="Calibri"/>
            <family val="2"/>
          </rPr>
          <t xml:space="preserve">Mandatory (If assay_type = targeted &amp; amp_vis_method = qPCR)
</t>
        </r>
        <r>
          <rPr>
            <b/>
            <sz val="11"/>
            <color rgb="FF000000"/>
            <rFont val="Calibri"/>
            <family val="2"/>
          </rPr>
          <t xml:space="preserve">Description : </t>
        </r>
        <r>
          <rPr>
            <sz val="11"/>
            <color rgb="FF000000"/>
            <rFont val="Calibri"/>
            <family val="2"/>
          </rPr>
          <t xml:space="preserve">The number of cycles required for the fluorescent signal to cross a given value threshold above the baseline for each technical replicate. Quantification cycle (Cq), threshold cycle (Ct), crossing point (Cp), and take-off point (TOP) refer to the same value from the real-time instrument. Use of quantification cycle (Cq), is preferable according to the RDML (Real-Time PCR Data Markup Language) data standard (http://www.rdml.org). Use "NA" (not zero) to indicate no amplification occurred. Unit = Cycle
</t>
        </r>
        <r>
          <rPr>
            <b/>
            <sz val="11"/>
            <color rgb="FF000000"/>
            <rFont val="Calibri"/>
            <family val="2"/>
          </rPr>
          <t xml:space="preserve">Example : </t>
        </r>
        <r>
          <rPr>
            <sz val="11"/>
            <color rgb="FF000000"/>
            <rFont val="Calibri"/>
            <family val="2"/>
          </rPr>
          <t xml:space="preserve">37.9450950622558
</t>
        </r>
        <r>
          <rPr>
            <b/>
            <sz val="11"/>
            <color rgb="FF000000"/>
            <rFont val="Calibri"/>
            <family val="2"/>
          </rPr>
          <t xml:space="preserve">Field type : </t>
        </r>
        <r>
          <rPr>
            <sz val="11"/>
            <color rgb="FF000000"/>
            <rFont val="Calibri"/>
            <family val="2"/>
          </rPr>
          <t xml:space="preserve">numeric
</t>
        </r>
      </text>
    </comment>
    <comment ref="H3" authorId="0" shapeId="0" xr:uid="{00000000-0006-0000-0500-000007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Relative Fluorescence Units (RFU). No unit
</t>
        </r>
        <r>
          <rPr>
            <b/>
            <sz val="11"/>
            <color rgb="FF000000"/>
            <rFont val="Calibri"/>
            <family val="2"/>
          </rPr>
          <t xml:space="preserve">Example : </t>
        </r>
        <r>
          <rPr>
            <sz val="11"/>
            <color rgb="FF000000"/>
            <rFont val="Calibri"/>
            <family val="2"/>
          </rPr>
          <t xml:space="preserve">7862.41
</t>
        </r>
        <r>
          <rPr>
            <b/>
            <sz val="11"/>
            <color rgb="FF000000"/>
            <rFont val="Calibri"/>
            <family val="2"/>
          </rPr>
          <t xml:space="preserve">Field type : </t>
        </r>
        <r>
          <rPr>
            <sz val="11"/>
            <color rgb="FF000000"/>
            <rFont val="Calibri"/>
            <family val="2"/>
          </rPr>
          <t xml:space="preserve">numeric
</t>
        </r>
      </text>
    </comment>
    <comment ref="I3" authorId="0" shapeId="0" xr:uid="{00000000-0006-0000-0500-000008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qPCR amplification efficiency calculated from slope. Unit = %
</t>
        </r>
        <r>
          <rPr>
            <b/>
            <sz val="11"/>
            <color rgb="FF000000"/>
            <rFont val="Calibri"/>
            <family val="2"/>
          </rPr>
          <t xml:space="preserve">Example : </t>
        </r>
        <r>
          <rPr>
            <sz val="11"/>
            <color rgb="FF000000"/>
            <rFont val="Calibri"/>
            <family val="2"/>
          </rPr>
          <t xml:space="preserve">95.0
</t>
        </r>
        <r>
          <rPr>
            <b/>
            <sz val="11"/>
            <color rgb="FF000000"/>
            <rFont val="Calibri"/>
            <family val="2"/>
          </rPr>
          <t xml:space="preserve">Field type : </t>
        </r>
        <r>
          <rPr>
            <sz val="11"/>
            <color rgb="FF000000"/>
            <rFont val="Calibri"/>
            <family val="2"/>
          </rPr>
          <t xml:space="preserve">numeric
</t>
        </r>
      </text>
    </comment>
    <comment ref="J3" authorId="0" shapeId="0" xr:uid="{00000000-0006-0000-0500-00000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R-squared value of a qPCR standard curve. This shall be specific to each pcr_plate_id.
</t>
        </r>
        <r>
          <rPr>
            <b/>
            <sz val="11"/>
            <color rgb="FF000000"/>
            <rFont val="Calibri"/>
            <family val="2"/>
          </rPr>
          <t xml:space="preserve">Example : </t>
        </r>
        <r>
          <rPr>
            <sz val="11"/>
            <color rgb="FF000000"/>
            <rFont val="Calibri"/>
            <family val="2"/>
          </rPr>
          <t xml:space="preserve">0.9867
</t>
        </r>
        <r>
          <rPr>
            <b/>
            <sz val="11"/>
            <color rgb="FF000000"/>
            <rFont val="Calibri"/>
            <family val="2"/>
          </rPr>
          <t xml:space="preserve">Field type : </t>
        </r>
        <r>
          <rPr>
            <sz val="11"/>
            <color rgb="FF000000"/>
            <rFont val="Calibri"/>
            <family val="2"/>
          </rPr>
          <t xml:space="preserve">numeric
</t>
        </r>
      </text>
    </comment>
    <comment ref="K3" authorId="0" shapeId="0" xr:uid="{00000000-0006-0000-05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Slope of a qPCR standard curve. This shall be specific to each pcr_plate_id.
</t>
        </r>
        <r>
          <rPr>
            <b/>
            <sz val="11"/>
            <color rgb="FF000000"/>
            <rFont val="Calibri"/>
            <family val="2"/>
          </rPr>
          <t xml:space="preserve">Example : </t>
        </r>
        <r>
          <rPr>
            <sz val="11"/>
            <color rgb="FF000000"/>
            <rFont val="Calibri"/>
            <family val="2"/>
          </rPr>
          <t xml:space="preserve">-3.26
</t>
        </r>
        <r>
          <rPr>
            <b/>
            <sz val="11"/>
            <color rgb="FF000000"/>
            <rFont val="Calibri"/>
            <family val="2"/>
          </rPr>
          <t xml:space="preserve">Field type : </t>
        </r>
        <r>
          <rPr>
            <sz val="11"/>
            <color rgb="FF000000"/>
            <rFont val="Calibri"/>
            <family val="2"/>
          </rPr>
          <t xml:space="preserve">numeric
</t>
        </r>
      </text>
    </comment>
    <comment ref="L3" authorId="0" shapeId="0" xr:uid="{00000000-0006-0000-0500-00000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Intercept of a qPCR standard curve. This shall be specific to each pcr_plate_id.
</t>
        </r>
        <r>
          <rPr>
            <b/>
            <sz val="11"/>
            <color rgb="FF000000"/>
            <rFont val="Calibri"/>
            <family val="2"/>
          </rPr>
          <t xml:space="preserve">Example : </t>
        </r>
        <r>
          <rPr>
            <sz val="11"/>
            <color rgb="FF000000"/>
            <rFont val="Calibri"/>
            <family val="2"/>
          </rPr>
          <t xml:space="preserve">39.37
</t>
        </r>
        <r>
          <rPr>
            <b/>
            <sz val="11"/>
            <color rgb="FF000000"/>
            <rFont val="Calibri"/>
            <family val="2"/>
          </rPr>
          <t xml:space="preserve">Field type : </t>
        </r>
        <r>
          <rPr>
            <sz val="11"/>
            <color rgb="FF000000"/>
            <rFont val="Calibri"/>
            <family val="2"/>
          </rPr>
          <t xml:space="preserve">numeric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600-000001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Number of detection using the eLow Quant approach (described in DOI: 10.1002/edn3.220)
</t>
        </r>
        <r>
          <rPr>
            <b/>
            <sz val="11"/>
            <color rgb="FF000000"/>
            <rFont val="Calibri"/>
            <family val="2"/>
          </rPr>
          <t xml:space="preserve">Example : </t>
        </r>
        <r>
          <rPr>
            <sz val="11"/>
            <color rgb="FF000000"/>
            <rFont val="Calibri"/>
            <family val="2"/>
          </rPr>
          <t xml:space="preserve">2
</t>
        </r>
        <r>
          <rPr>
            <b/>
            <sz val="11"/>
            <color rgb="FF000000"/>
            <rFont val="Calibri"/>
            <family val="2"/>
          </rPr>
          <t xml:space="preserve">Field type : </t>
        </r>
        <r>
          <rPr>
            <sz val="11"/>
            <color rgb="FF000000"/>
            <rFont val="Calibri"/>
            <family val="2"/>
          </rPr>
          <t xml:space="preserve">integer
</t>
        </r>
      </text>
    </comment>
    <comment ref="C3" authorId="0" shapeId="0" xr:uid="{00000000-0006-0000-0600-000002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Estimated concentration of target molecules. Describe the approach taken to estimate it under the term estaimtedNumberOfCopies_method.
</t>
        </r>
        <r>
          <rPr>
            <b/>
            <sz val="11"/>
            <color rgb="FF000000"/>
            <rFont val="Calibri"/>
            <family val="2"/>
          </rPr>
          <t xml:space="preserve">Example : </t>
        </r>
        <r>
          <rPr>
            <sz val="11"/>
            <color rgb="FF000000"/>
            <rFont val="Calibri"/>
            <family val="2"/>
          </rPr>
          <t xml:space="preserve">35.92426489978709
</t>
        </r>
        <r>
          <rPr>
            <b/>
            <sz val="11"/>
            <color rgb="FF000000"/>
            <rFont val="Calibri"/>
            <family val="2"/>
          </rPr>
          <t xml:space="preserve">Field type : </t>
        </r>
        <r>
          <rPr>
            <sz val="11"/>
            <color rgb="FF000000"/>
            <rFont val="Calibri"/>
            <family val="2"/>
          </rPr>
          <t xml:space="preserve">numeric
</t>
        </r>
      </text>
    </comment>
    <comment ref="D3" authorId="0" shapeId="0" xr:uid="{00000000-0006-0000-0600-000003000000}">
      <text>
        <r>
          <rPr>
            <b/>
            <sz val="11"/>
            <color rgb="FF000000"/>
            <rFont val="Calibri"/>
            <family val="2"/>
          </rPr>
          <t xml:space="preserve">Requirement level : </t>
        </r>
        <r>
          <rPr>
            <sz val="11"/>
            <color rgb="FF000000"/>
            <rFont val="Calibri"/>
            <family val="2"/>
          </rPr>
          <t xml:space="preserve">Recommended (If assay_type = targeted &amp; pcr_0_1 = 1)
</t>
        </r>
        <r>
          <rPr>
            <b/>
            <sz val="11"/>
            <color rgb="FF000000"/>
            <rFont val="Calibri"/>
            <family val="2"/>
          </rPr>
          <t xml:space="preserve">Description : </t>
        </r>
        <r>
          <rPr>
            <sz val="11"/>
            <color rgb="FF000000"/>
            <rFont val="Calibri"/>
            <family val="2"/>
          </rPr>
          <t xml:space="preserve">Unit for estimatedNumberOfCopies
</t>
        </r>
        <r>
          <rPr>
            <b/>
            <sz val="11"/>
            <color rgb="FF000000"/>
            <rFont val="Calibri"/>
            <family val="2"/>
          </rPr>
          <t xml:space="preserve">Example : </t>
        </r>
        <r>
          <rPr>
            <sz val="11"/>
            <color rgb="FF000000"/>
            <rFont val="Calibri"/>
            <family val="2"/>
          </rPr>
          <t xml:space="preserve">other:copies/mg of sediment sample
</t>
        </r>
        <r>
          <rPr>
            <b/>
            <sz val="11"/>
            <color rgb="FF000000"/>
            <rFont val="Calibri"/>
            <family val="2"/>
          </rPr>
          <t xml:space="preserve">Field type : </t>
        </r>
        <r>
          <rPr>
            <sz val="11"/>
            <color rgb="FFFF0000"/>
            <rFont val="Calibri"/>
            <family val="2"/>
          </rPr>
          <t xml:space="preserve">controlled vocabulary (copies/reaction | copies/µL of DNA extract | copies/µL of reaction | ng/reaction | ng/µL of DNA extract | ng/µL of reaction | other:)
</t>
        </r>
      </text>
    </comment>
    <comment ref="E3" authorId="0" shapeId="0" xr:uid="{00000000-0006-0000-06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measure of variability (e.g., standard error) associated with the estimatedNumberOfCopies value, applicable when the estimatedNumberOfCopies represents an average calculated from multiple technical replicates per sample.
</t>
        </r>
        <r>
          <rPr>
            <b/>
            <sz val="11"/>
            <color rgb="FF000000"/>
            <rFont val="Calibri"/>
            <family val="2"/>
          </rPr>
          <t xml:space="preserve">Example : </t>
        </r>
        <r>
          <rPr>
            <sz val="11"/>
            <color rgb="FF000000"/>
            <rFont val="Calibri"/>
            <family val="2"/>
          </rPr>
          <t xml:space="preserve">0.14
</t>
        </r>
        <r>
          <rPr>
            <b/>
            <sz val="11"/>
            <color rgb="FF000000"/>
            <rFont val="Calibri"/>
            <family val="2"/>
          </rPr>
          <t xml:space="preserve">Field type : </t>
        </r>
        <r>
          <rPr>
            <sz val="11"/>
            <color rgb="FF000000"/>
            <rFont val="Calibri"/>
            <family val="2"/>
          </rPr>
          <t xml:space="preserve">numeric
</t>
        </r>
      </text>
    </comment>
    <comment ref="F3" authorId="0" shapeId="0" xr:uid="{00000000-0006-0000-06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specific type of variability measure (e.g., standard error, standard deviation) used to describe estimatedNumberOfCopies_error.
</t>
        </r>
        <r>
          <rPr>
            <b/>
            <sz val="11"/>
            <color rgb="FF000000"/>
            <rFont val="Calibri"/>
            <family val="2"/>
          </rPr>
          <t xml:space="preserve">Example : </t>
        </r>
        <r>
          <rPr>
            <sz val="11"/>
            <color rgb="FF000000"/>
            <rFont val="Calibri"/>
            <family val="2"/>
          </rPr>
          <t xml:space="preserve">standard error
</t>
        </r>
        <r>
          <rPr>
            <b/>
            <sz val="11"/>
            <color rgb="FF000000"/>
            <rFont val="Calibri"/>
            <family val="2"/>
          </rPr>
          <t xml:space="preserve">Field type : </t>
        </r>
        <r>
          <rPr>
            <sz val="11"/>
            <color rgb="FFFF0000"/>
            <rFont val="Calibri"/>
            <family val="2"/>
          </rPr>
          <t xml:space="preserve">controlled vocabulary (standard error | standard deviation | 95% confidence interval | other:)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700-000001000000}">
      <text>
        <r>
          <rPr>
            <b/>
            <sz val="11"/>
            <color rgb="FF000000"/>
            <rFont val="Calibri"/>
            <family val="2"/>
          </rPr>
          <t xml:space="preserve">Requirement level : </t>
        </r>
        <r>
          <rPr>
            <b/>
            <sz val="11"/>
            <color rgb="FFFF0000"/>
            <rFont val="Calibri"/>
            <family val="2"/>
          </rPr>
          <t xml:space="preserve">Mandatory
</t>
        </r>
        <r>
          <rPr>
            <b/>
            <sz val="11"/>
            <color rgb="FF000000"/>
            <rFont val="Calibri"/>
            <family val="2"/>
          </rPr>
          <t xml:space="preserve">Description : </t>
        </r>
        <r>
          <rPr>
            <sz val="11"/>
            <color rgb="FF000000"/>
            <rFont val="Calibri"/>
            <family val="2"/>
          </rPr>
          <t xml:space="preserve">A brief, concise identifier for assay with no spaces or special characters, ensuring machine readability. This ID will be used in file names as 'assay_name'.
</t>
        </r>
        <r>
          <rPr>
            <b/>
            <sz val="11"/>
            <color rgb="FF000000"/>
            <rFont val="Calibri"/>
            <family val="2"/>
          </rPr>
          <t xml:space="preserve">Example : </t>
        </r>
        <r>
          <rPr>
            <sz val="11"/>
            <color rgb="FF000000"/>
            <rFont val="Calibri"/>
            <family val="2"/>
          </rPr>
          <t xml:space="preserve">MiFish (metabarcoding) / eSERU5 (qPCR)
</t>
        </r>
        <r>
          <rPr>
            <b/>
            <sz val="11"/>
            <color rgb="FF000000"/>
            <rFont val="Calibri"/>
            <family val="2"/>
          </rPr>
          <t xml:space="preserve">Field type : </t>
        </r>
        <r>
          <rPr>
            <sz val="11"/>
            <color rgb="FF000000"/>
            <rFont val="Calibri"/>
            <family val="2"/>
          </rPr>
          <t xml:space="preserve">free text
</t>
        </r>
      </text>
    </comment>
    <comment ref="C3" authorId="0" shapeId="0" xr:uid="{00000000-0006-0000-0700-000002000000}">
      <text>
        <r>
          <rPr>
            <b/>
            <sz val="11"/>
            <color rgb="FF000000"/>
            <rFont val="Calibri"/>
            <family val="2"/>
          </rPr>
          <t xml:space="preserve">Requirement level : </t>
        </r>
        <r>
          <rPr>
            <b/>
            <sz val="11"/>
            <color rgb="FFFF0000"/>
            <rFont val="Calibri"/>
            <family val="2"/>
          </rPr>
          <t xml:space="preserve">Mandatory (If assay_type = targeted)
</t>
        </r>
        <r>
          <rPr>
            <b/>
            <sz val="11"/>
            <color rgb="FF000000"/>
            <rFont val="Calibri"/>
            <family val="2"/>
          </rPr>
          <t xml:space="preserve">Description : </t>
        </r>
        <r>
          <rPr>
            <sz val="11"/>
            <color rgb="FF000000"/>
            <rFont val="Calibri"/>
            <family val="2"/>
          </rPr>
          <t xml:space="preserve">PCR plate ID. This identifier is particularly crucial when location-specific standard curves are employed for targeted assay detections, as it ensures a linkage between the standards and the corresponding eDNA samples. If two-step PCR was applied for a metabarcoding approach, enter the second PCR protocol under the term pcr2_* in the library preparation/sequencing section.
</t>
        </r>
        <r>
          <rPr>
            <b/>
            <sz val="11"/>
            <color rgb="FF000000"/>
            <rFont val="Calibri"/>
            <family val="2"/>
          </rPr>
          <t xml:space="preserve">Example : </t>
        </r>
        <r>
          <rPr>
            <sz val="11"/>
            <color rgb="FF000000"/>
            <rFont val="Calibri"/>
            <family val="2"/>
          </rPr>
          <t xml:space="preserve">20240802_pcr1
</t>
        </r>
        <r>
          <rPr>
            <b/>
            <sz val="11"/>
            <color rgb="FF000000"/>
            <rFont val="Calibri"/>
            <family val="2"/>
          </rPr>
          <t xml:space="preserve">Field type : </t>
        </r>
        <r>
          <rPr>
            <sz val="11"/>
            <color rgb="FF000000"/>
            <rFont val="Calibri"/>
            <family val="2"/>
          </rPr>
          <t xml:space="preserve">free text
</t>
        </r>
      </text>
    </comment>
    <comment ref="D3" authorId="0" shapeId="0" xr:uid="{00000000-0006-0000-0700-000003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An identifier of a library (an amplicon of a sample with unique MIDs)
</t>
        </r>
        <r>
          <rPr>
            <b/>
            <sz val="11"/>
            <color rgb="FF000000"/>
            <rFont val="Calibri"/>
            <family val="2"/>
          </rPr>
          <t xml:space="preserve">Example : </t>
        </r>
        <r>
          <rPr>
            <sz val="11"/>
            <color rgb="FF000000"/>
            <rFont val="Calibri"/>
            <family val="2"/>
          </rPr>
          <t xml:space="preserve">S01_MiSeq_run20230922
</t>
        </r>
        <r>
          <rPr>
            <b/>
            <sz val="11"/>
            <color rgb="FF000000"/>
            <rFont val="Calibri"/>
            <family val="2"/>
          </rPr>
          <t xml:space="preserve">Field type : </t>
        </r>
        <r>
          <rPr>
            <sz val="11"/>
            <color rgb="FF000000"/>
            <rFont val="Calibri"/>
            <family val="2"/>
          </rPr>
          <t xml:space="preserve">free text
</t>
        </r>
      </text>
    </comment>
    <comment ref="E3" authorId="0" shapeId="0" xr:uid="{00000000-0006-0000-0700-000004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A brief, concise identifier for sequencing run with no spaces or special characters, ensuring machine readability. This ID will be used in file names as 'seq_run_id'.
</t>
        </r>
        <r>
          <rPr>
            <b/>
            <sz val="11"/>
            <color rgb="FF000000"/>
            <rFont val="Calibri"/>
            <family val="2"/>
          </rPr>
          <t xml:space="preserve">Example : </t>
        </r>
        <r>
          <rPr>
            <sz val="11"/>
            <color rgb="FF000000"/>
            <rFont val="Calibri"/>
            <family val="2"/>
          </rPr>
          <t xml:space="preserve">run20230922
</t>
        </r>
        <r>
          <rPr>
            <b/>
            <sz val="11"/>
            <color rgb="FF000000"/>
            <rFont val="Calibri"/>
            <family val="2"/>
          </rPr>
          <t xml:space="preserve">Field type : </t>
        </r>
        <r>
          <rPr>
            <sz val="11"/>
            <color rgb="FF000000"/>
            <rFont val="Calibri"/>
            <family val="2"/>
          </rPr>
          <t xml:space="preserve">free text
</t>
        </r>
      </text>
    </comment>
    <comment ref="F3" authorId="0" shapeId="0" xr:uid="{00000000-0006-0000-07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concentration of the prepared library pool that was loaded onto the sequencing platform for a sequencing run.
</t>
        </r>
        <r>
          <rPr>
            <b/>
            <sz val="11"/>
            <color rgb="FF000000"/>
            <rFont val="Calibri"/>
            <family val="2"/>
          </rPr>
          <t xml:space="preserve">Example : </t>
        </r>
        <r>
          <rPr>
            <sz val="11"/>
            <color rgb="FF000000"/>
            <rFont val="Calibri"/>
            <family val="2"/>
          </rPr>
          <t xml:space="preserve">10.0
</t>
        </r>
        <r>
          <rPr>
            <b/>
            <sz val="11"/>
            <color rgb="FF000000"/>
            <rFont val="Calibri"/>
            <family val="2"/>
          </rPr>
          <t xml:space="preserve">Field type : </t>
        </r>
        <r>
          <rPr>
            <sz val="11"/>
            <color rgb="FF000000"/>
            <rFont val="Calibri"/>
            <family val="2"/>
          </rPr>
          <t xml:space="preserve">numeric
</t>
        </r>
      </text>
    </comment>
    <comment ref="G3" authorId="0" shapeId="0" xr:uid="{00000000-0006-0000-07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Unit for lib_conc
</t>
        </r>
        <r>
          <rPr>
            <b/>
            <sz val="11"/>
            <color rgb="FF000000"/>
            <rFont val="Calibri"/>
            <family val="2"/>
          </rPr>
          <t xml:space="preserve">Example : </t>
        </r>
        <r>
          <rPr>
            <sz val="11"/>
            <color rgb="FF000000"/>
            <rFont val="Calibri"/>
            <family val="2"/>
          </rPr>
          <t xml:space="preserve">pM
</t>
        </r>
        <r>
          <rPr>
            <b/>
            <sz val="11"/>
            <color rgb="FF000000"/>
            <rFont val="Calibri"/>
            <family val="2"/>
          </rPr>
          <t xml:space="preserve">Field type : </t>
        </r>
        <r>
          <rPr>
            <sz val="11"/>
            <color rgb="FFFF0000"/>
            <rFont val="Calibri"/>
            <family val="2"/>
          </rPr>
          <t xml:space="preserve">controlled vocabulary (ng/µL | nM | pM | other:)
</t>
        </r>
      </text>
    </comment>
    <comment ref="H3" authorId="0" shapeId="0" xr:uid="{00000000-0006-0000-07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Method to estimate lib_conc
</t>
        </r>
        <r>
          <rPr>
            <b/>
            <sz val="11"/>
            <color rgb="FF000000"/>
            <rFont val="Calibri"/>
            <family val="2"/>
          </rPr>
          <t xml:space="preserve">Example : </t>
        </r>
        <r>
          <rPr>
            <sz val="11"/>
            <color rgb="FF000000"/>
            <rFont val="Calibri"/>
            <family val="2"/>
          </rPr>
          <t xml:space="preserve">Qubit Fluoromete
</t>
        </r>
        <r>
          <rPr>
            <b/>
            <sz val="11"/>
            <color rgb="FF000000"/>
            <rFont val="Calibri"/>
            <family val="2"/>
          </rPr>
          <t xml:space="preserve">Field type : </t>
        </r>
        <r>
          <rPr>
            <sz val="11"/>
            <color rgb="FF000000"/>
            <rFont val="Calibri"/>
            <family val="2"/>
          </rPr>
          <t xml:space="preserve">free text
</t>
        </r>
      </text>
    </comment>
    <comment ref="I3" authorId="0" shapeId="0" xr:uid="{00000000-0006-0000-07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 of PhiX added into a library, if applicable. Unit = %
</t>
        </r>
        <r>
          <rPr>
            <b/>
            <sz val="11"/>
            <color rgb="FF000000"/>
            <rFont val="Calibri"/>
            <family val="2"/>
          </rPr>
          <t xml:space="preserve">Example : </t>
        </r>
        <r>
          <rPr>
            <sz val="11"/>
            <color rgb="FF000000"/>
            <rFont val="Calibri"/>
            <family val="2"/>
          </rPr>
          <t xml:space="preserve">15.0
</t>
        </r>
        <r>
          <rPr>
            <b/>
            <sz val="11"/>
            <color rgb="FF000000"/>
            <rFont val="Calibri"/>
            <family val="2"/>
          </rPr>
          <t xml:space="preserve">Field type : </t>
        </r>
        <r>
          <rPr>
            <sz val="11"/>
            <color rgb="FF000000"/>
            <rFont val="Calibri"/>
            <family val="2"/>
          </rPr>
          <t xml:space="preserve">numeric
</t>
        </r>
      </text>
    </comment>
    <comment ref="J3" authorId="0" shapeId="0" xr:uid="{00000000-0006-0000-0700-000009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Forward multiplex Identifiers (MIDs), that was used to specifically tag unique samples in a sequencing run. Sequence should be reported in uppercase letters
</t>
        </r>
        <r>
          <rPr>
            <b/>
            <sz val="11"/>
            <color rgb="FF000000"/>
            <rFont val="Calibri"/>
            <family val="2"/>
          </rPr>
          <t xml:space="preserve">Example : </t>
        </r>
        <r>
          <rPr>
            <sz val="11"/>
            <color rgb="FF000000"/>
            <rFont val="Calibri"/>
            <family val="2"/>
          </rPr>
          <t xml:space="preserve">GTGAATAT
</t>
        </r>
        <r>
          <rPr>
            <b/>
            <sz val="11"/>
            <color rgb="FF000000"/>
            <rFont val="Calibri"/>
            <family val="2"/>
          </rPr>
          <t xml:space="preserve">Field type : </t>
        </r>
        <r>
          <rPr>
            <sz val="11"/>
            <color rgb="FF000000"/>
            <rFont val="Calibri"/>
            <family val="2"/>
          </rPr>
          <t xml:space="preserve">free text
</t>
        </r>
      </text>
    </comment>
    <comment ref="K3" authorId="0" shapeId="0" xr:uid="{00000000-0006-0000-0700-00000A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Reverse multiplex Identifiers (MIDs), that was used to specifically tag unique samples in a sequencing run. Sequence should be reported in uppercase letters
</t>
        </r>
        <r>
          <rPr>
            <b/>
            <sz val="11"/>
            <color rgb="FF000000"/>
            <rFont val="Calibri"/>
            <family val="2"/>
          </rPr>
          <t xml:space="preserve">Example : </t>
        </r>
        <r>
          <rPr>
            <sz val="11"/>
            <color rgb="FF000000"/>
            <rFont val="Calibri"/>
            <family val="2"/>
          </rPr>
          <t xml:space="preserve">AACAAGCC
</t>
        </r>
        <r>
          <rPr>
            <b/>
            <sz val="11"/>
            <color rgb="FF000000"/>
            <rFont val="Calibri"/>
            <family val="2"/>
          </rPr>
          <t xml:space="preserve">Field type : </t>
        </r>
        <r>
          <rPr>
            <sz val="11"/>
            <color rgb="FF000000"/>
            <rFont val="Calibri"/>
            <family val="2"/>
          </rPr>
          <t xml:space="preserve">free text
</t>
        </r>
      </text>
    </comment>
    <comment ref="L3" authorId="0" shapeId="0" xr:uid="{00000000-0006-0000-0700-00000B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file name of raw sequencing data. If paired end, fill filename2 for the reverse read
</t>
        </r>
        <r>
          <rPr>
            <b/>
            <sz val="11"/>
            <color rgb="FF000000"/>
            <rFont val="Calibri"/>
            <family val="2"/>
          </rPr>
          <t xml:space="preserve">Example : </t>
        </r>
        <r>
          <rPr>
            <sz val="11"/>
            <color rgb="FF000000"/>
            <rFont val="Calibri"/>
            <family val="2"/>
          </rPr>
          <t xml:space="preserve">S01_R1.fastq
</t>
        </r>
        <r>
          <rPr>
            <b/>
            <sz val="11"/>
            <color rgb="FF000000"/>
            <rFont val="Calibri"/>
            <family val="2"/>
          </rPr>
          <t xml:space="preserve">Field type : </t>
        </r>
        <r>
          <rPr>
            <sz val="11"/>
            <color rgb="FF000000"/>
            <rFont val="Calibri"/>
            <family val="2"/>
          </rPr>
          <t xml:space="preserve">free text
</t>
        </r>
      </text>
    </comment>
    <comment ref="M3" authorId="0" shapeId="0" xr:uid="{00000000-0006-0000-0700-00000C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raw sequencing data file name of reverse reads if lib_layout = paired end
</t>
        </r>
        <r>
          <rPr>
            <b/>
            <sz val="11"/>
            <color rgb="FF000000"/>
            <rFont val="Calibri"/>
            <family val="2"/>
          </rPr>
          <t xml:space="preserve">Example : </t>
        </r>
        <r>
          <rPr>
            <sz val="11"/>
            <color rgb="FF000000"/>
            <rFont val="Calibri"/>
            <family val="2"/>
          </rPr>
          <t xml:space="preserve">S01_R2.fastq
</t>
        </r>
        <r>
          <rPr>
            <b/>
            <sz val="11"/>
            <color rgb="FF000000"/>
            <rFont val="Calibri"/>
            <family val="2"/>
          </rPr>
          <t xml:space="preserve">Field type : </t>
        </r>
        <r>
          <rPr>
            <sz val="11"/>
            <color rgb="FF000000"/>
            <rFont val="Calibri"/>
            <family val="2"/>
          </rPr>
          <t xml:space="preserve">free text
</t>
        </r>
      </text>
    </comment>
    <comment ref="N3" authorId="0" shapeId="0" xr:uid="{00000000-0006-0000-0700-00000D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checksum of the forward sequence reads file (filename), used to verify the integrity and identity of the corresponding data file
</t>
        </r>
        <r>
          <rPr>
            <b/>
            <sz val="11"/>
            <color rgb="FF000000"/>
            <rFont val="Calibri"/>
            <family val="2"/>
          </rPr>
          <t xml:space="preserve">Example : </t>
        </r>
        <r>
          <rPr>
            <sz val="11"/>
            <color rgb="FF000000"/>
            <rFont val="Calibri"/>
            <family val="2"/>
          </rPr>
          <t xml:space="preserve">e61e08bfd3ad5eb5d6e7da9e95b5feed
</t>
        </r>
        <r>
          <rPr>
            <b/>
            <sz val="11"/>
            <color rgb="FF000000"/>
            <rFont val="Calibri"/>
            <family val="2"/>
          </rPr>
          <t xml:space="preserve">Field type : </t>
        </r>
        <r>
          <rPr>
            <sz val="11"/>
            <color rgb="FF000000"/>
            <rFont val="Calibri"/>
            <family val="2"/>
          </rPr>
          <t xml:space="preserve">free text
</t>
        </r>
      </text>
    </comment>
    <comment ref="O3" authorId="0" shapeId="0" xr:uid="{00000000-0006-0000-0700-00000E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checksum of the reverse sequence reads file (filename2), used to verify the integrity and identity of the corresponding data file
</t>
        </r>
        <r>
          <rPr>
            <b/>
            <sz val="11"/>
            <color rgb="FF000000"/>
            <rFont val="Calibri"/>
            <family val="2"/>
          </rPr>
          <t xml:space="preserve">Example : </t>
        </r>
        <r>
          <rPr>
            <sz val="11"/>
            <color rgb="FF000000"/>
            <rFont val="Calibri"/>
            <family val="2"/>
          </rPr>
          <t xml:space="preserve">b3ea95ec13dae594bcb292dcf1b1ac7f
</t>
        </r>
        <r>
          <rPr>
            <b/>
            <sz val="11"/>
            <color rgb="FF000000"/>
            <rFont val="Calibri"/>
            <family val="2"/>
          </rPr>
          <t xml:space="preserve">Field type : </t>
        </r>
        <r>
          <rPr>
            <sz val="11"/>
            <color rgb="FF000000"/>
            <rFont val="Calibri"/>
            <family val="2"/>
          </rPr>
          <t xml:space="preserve">free text
</t>
        </r>
      </text>
    </comment>
    <comment ref="P3" authorId="0" shapeId="0" xr:uid="{00000000-0006-0000-07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 list (concatenated and separated) of identifiers (publication, global unique identifier, URI) of genetic sequence information associated with the samp_name
</t>
        </r>
        <r>
          <rPr>
            <b/>
            <sz val="11"/>
            <color rgb="FF000000"/>
            <rFont val="Calibri"/>
            <family val="2"/>
          </rPr>
          <t xml:space="preserve">Example : </t>
        </r>
        <r>
          <rPr>
            <sz val="11"/>
            <color rgb="FF000000"/>
            <rFont val="Calibri"/>
            <family val="2"/>
          </rPr>
          <t xml:space="preserve">https://www.ncbi.nlm.nih.gov/sra/SRR26148187 | https://www.ncbi.nlm.nih.gov/biosample/SAMN37516094 | https://www.ncbi.nlm.nih.gov/bioproject/PRJNA887898
</t>
        </r>
        <r>
          <rPr>
            <b/>
            <sz val="11"/>
            <color rgb="FF000000"/>
            <rFont val="Calibri"/>
            <family val="2"/>
          </rPr>
          <t xml:space="preserve">Field type : </t>
        </r>
        <r>
          <rPr>
            <sz val="11"/>
            <color rgb="FF000000"/>
            <rFont val="Calibri"/>
            <family val="2"/>
          </rPr>
          <t xml:space="preserve">free text
</t>
        </r>
      </text>
    </comment>
    <comment ref="Q3" authorId="0" shapeId="0" xr:uid="{00000000-0006-0000-07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total number of raw sequence reads for each sample. Unit = reads
</t>
        </r>
        <r>
          <rPr>
            <b/>
            <sz val="11"/>
            <color rgb="FF000000"/>
            <rFont val="Calibri"/>
            <family val="2"/>
          </rPr>
          <t xml:space="preserve">Example : </t>
        </r>
        <r>
          <rPr>
            <sz val="11"/>
            <color rgb="FF000000"/>
            <rFont val="Calibri"/>
            <family val="2"/>
          </rPr>
          <t xml:space="preserve">20485
</t>
        </r>
        <r>
          <rPr>
            <b/>
            <sz val="11"/>
            <color rgb="FF000000"/>
            <rFont val="Calibri"/>
            <family val="2"/>
          </rPr>
          <t xml:space="preserve">Field type : </t>
        </r>
        <r>
          <rPr>
            <sz val="11"/>
            <color rgb="FF000000"/>
            <rFont val="Calibri"/>
            <family val="2"/>
          </rPr>
          <t xml:space="preserve">integer
</t>
        </r>
      </text>
    </comment>
    <comment ref="R3" authorId="0" shapeId="0" xr:uid="{00000000-0006-0000-07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number of filtered sequence reads for each sample, that made it through bioinformatic filtering and used for final/subsequent analyses. Unit = reads
</t>
        </r>
        <r>
          <rPr>
            <b/>
            <sz val="11"/>
            <color rgb="FF000000"/>
            <rFont val="Calibri"/>
            <family val="2"/>
          </rPr>
          <t xml:space="preserve">Example : </t>
        </r>
        <r>
          <rPr>
            <sz val="11"/>
            <color rgb="FF000000"/>
            <rFont val="Calibri"/>
            <family val="2"/>
          </rPr>
          <t xml:space="preserve">16847
</t>
        </r>
        <r>
          <rPr>
            <b/>
            <sz val="11"/>
            <color rgb="FF000000"/>
            <rFont val="Calibri"/>
            <family val="2"/>
          </rPr>
          <t xml:space="preserve">Field type : </t>
        </r>
        <r>
          <rPr>
            <sz val="11"/>
            <color rgb="FF000000"/>
            <rFont val="Calibri"/>
            <family val="2"/>
          </rPr>
          <t xml:space="preserve">integer
</t>
        </r>
      </text>
    </comment>
    <comment ref="S3" authorId="0" shapeId="0" xr:uid="{00000000-0006-0000-07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Total number of OTUs or ASVs for each sample
</t>
        </r>
        <r>
          <rPr>
            <b/>
            <sz val="11"/>
            <color rgb="FF000000"/>
            <rFont val="Calibri"/>
            <family val="2"/>
          </rPr>
          <t xml:space="preserve">Example : </t>
        </r>
        <r>
          <rPr>
            <sz val="11"/>
            <color rgb="FF000000"/>
            <rFont val="Calibri"/>
            <family val="2"/>
          </rPr>
          <t xml:space="preserve">86
</t>
        </r>
        <r>
          <rPr>
            <b/>
            <sz val="11"/>
            <color rgb="FF000000"/>
            <rFont val="Calibri"/>
            <family val="2"/>
          </rPr>
          <t xml:space="preserve">Field type : </t>
        </r>
        <r>
          <rPr>
            <sz val="11"/>
            <color rgb="FF000000"/>
            <rFont val="Calibri"/>
            <family val="2"/>
          </rPr>
          <t xml:space="preserve">integer
</t>
        </r>
      </text>
    </comment>
    <comment ref="T3" authorId="0" shapeId="0" xr:uid="{00000000-0006-0000-07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Total number of OTUs or ASVs assigned to taxa based on the study-specific thresholds for each sample
</t>
        </r>
        <r>
          <rPr>
            <b/>
            <sz val="11"/>
            <color rgb="FF000000"/>
            <rFont val="Calibri"/>
            <family val="2"/>
          </rPr>
          <t xml:space="preserve">Example : </t>
        </r>
        <r>
          <rPr>
            <sz val="11"/>
            <color rgb="FF000000"/>
            <rFont val="Calibri"/>
            <family val="2"/>
          </rPr>
          <t xml:space="preserve">49
</t>
        </r>
        <r>
          <rPr>
            <b/>
            <sz val="11"/>
            <color rgb="FF000000"/>
            <rFont val="Calibri"/>
            <family val="2"/>
          </rPr>
          <t xml:space="preserve">Field type : </t>
        </r>
        <r>
          <rPr>
            <sz val="11"/>
            <color rgb="FF000000"/>
            <rFont val="Calibri"/>
            <family val="2"/>
          </rPr>
          <t xml:space="preserve">integer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800-000001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The DNA sequence
</t>
        </r>
        <r>
          <rPr>
            <b/>
            <sz val="11"/>
            <color rgb="FF000000"/>
            <rFont val="Calibri"/>
            <family val="2"/>
          </rPr>
          <t xml:space="preserve">Example : </t>
        </r>
        <r>
          <rPr>
            <sz val="11"/>
            <color rgb="FF000000"/>
            <rFont val="Calibri"/>
            <family val="2"/>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family val="2"/>
          </rPr>
          <t xml:space="preserve">Field type : </t>
        </r>
        <r>
          <rPr>
            <sz val="11"/>
            <color rgb="FF000000"/>
            <rFont val="Calibri"/>
            <family val="2"/>
          </rPr>
          <t xml:space="preserve">free text
</t>
        </r>
      </text>
    </comment>
    <comment ref="C3" authorId="0" shapeId="0" xr:uid="{00000000-0006-0000-08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kingdom
</t>
        </r>
        <r>
          <rPr>
            <b/>
            <sz val="11"/>
            <color rgb="FF000000"/>
            <rFont val="Calibri"/>
            <family val="2"/>
          </rPr>
          <t xml:space="preserve">Example : </t>
        </r>
        <r>
          <rPr>
            <sz val="11"/>
            <color rgb="FF000000"/>
            <rFont val="Calibri"/>
            <family val="2"/>
          </rPr>
          <t xml:space="preserve">Animalia
</t>
        </r>
        <r>
          <rPr>
            <b/>
            <sz val="11"/>
            <color rgb="FF000000"/>
            <rFont val="Calibri"/>
            <family val="2"/>
          </rPr>
          <t xml:space="preserve">Field type : </t>
        </r>
        <r>
          <rPr>
            <sz val="11"/>
            <color rgb="FF000000"/>
            <rFont val="Calibri"/>
            <family val="2"/>
          </rPr>
          <t xml:space="preserve">free text
</t>
        </r>
      </text>
    </comment>
    <comment ref="D3" authorId="0" shapeId="0" xr:uid="{00000000-0006-0000-0800-00000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phylum or division
</t>
        </r>
        <r>
          <rPr>
            <b/>
            <sz val="11"/>
            <color rgb="FF000000"/>
            <rFont val="Calibri"/>
            <family val="2"/>
          </rPr>
          <t xml:space="preserve">Example : </t>
        </r>
        <r>
          <rPr>
            <sz val="11"/>
            <color rgb="FF000000"/>
            <rFont val="Calibri"/>
            <family val="2"/>
          </rPr>
          <t xml:space="preserve">Chordata
</t>
        </r>
        <r>
          <rPr>
            <b/>
            <sz val="11"/>
            <color rgb="FF000000"/>
            <rFont val="Calibri"/>
            <family val="2"/>
          </rPr>
          <t xml:space="preserve">Field type : </t>
        </r>
        <r>
          <rPr>
            <sz val="11"/>
            <color rgb="FF000000"/>
            <rFont val="Calibri"/>
            <family val="2"/>
          </rPr>
          <t xml:space="preserve">free text
</t>
        </r>
      </text>
    </comment>
    <comment ref="E3" authorId="0" shapeId="0" xr:uid="{00000000-0006-0000-08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class
</t>
        </r>
        <r>
          <rPr>
            <b/>
            <sz val="11"/>
            <color rgb="FF000000"/>
            <rFont val="Calibri"/>
            <family val="2"/>
          </rPr>
          <t xml:space="preserve">Example : </t>
        </r>
        <r>
          <rPr>
            <sz val="11"/>
            <color rgb="FF000000"/>
            <rFont val="Calibri"/>
            <family val="2"/>
          </rPr>
          <t xml:space="preserve">Actinopterygii
</t>
        </r>
        <r>
          <rPr>
            <b/>
            <sz val="11"/>
            <color rgb="FF000000"/>
            <rFont val="Calibri"/>
            <family val="2"/>
          </rPr>
          <t xml:space="preserve">Field type : </t>
        </r>
        <r>
          <rPr>
            <sz val="11"/>
            <color rgb="FF000000"/>
            <rFont val="Calibri"/>
            <family val="2"/>
          </rPr>
          <t xml:space="preserve">free text
</t>
        </r>
      </text>
    </comment>
    <comment ref="F3" authorId="0" shapeId="0" xr:uid="{00000000-0006-0000-08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order
</t>
        </r>
        <r>
          <rPr>
            <b/>
            <sz val="11"/>
            <color rgb="FF000000"/>
            <rFont val="Calibri"/>
            <family val="2"/>
          </rPr>
          <t xml:space="preserve">Example : </t>
        </r>
        <r>
          <rPr>
            <sz val="11"/>
            <color rgb="FF000000"/>
            <rFont val="Calibri"/>
            <family val="2"/>
          </rPr>
          <t xml:space="preserve">Perciformes
</t>
        </r>
        <r>
          <rPr>
            <b/>
            <sz val="11"/>
            <color rgb="FF000000"/>
            <rFont val="Calibri"/>
            <family val="2"/>
          </rPr>
          <t xml:space="preserve">Field type : </t>
        </r>
        <r>
          <rPr>
            <sz val="11"/>
            <color rgb="FF000000"/>
            <rFont val="Calibri"/>
            <family val="2"/>
          </rPr>
          <t xml:space="preserve">free text
</t>
        </r>
      </text>
    </comment>
    <comment ref="G3" authorId="0" shapeId="0" xr:uid="{00000000-0006-0000-08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family
</t>
        </r>
        <r>
          <rPr>
            <b/>
            <sz val="11"/>
            <color rgb="FF000000"/>
            <rFont val="Calibri"/>
            <family val="2"/>
          </rPr>
          <t xml:space="preserve">Example : </t>
        </r>
        <r>
          <rPr>
            <sz val="11"/>
            <color rgb="FF000000"/>
            <rFont val="Calibri"/>
            <family val="2"/>
          </rPr>
          <t xml:space="preserve">Lutjanidae
</t>
        </r>
        <r>
          <rPr>
            <b/>
            <sz val="11"/>
            <color rgb="FF000000"/>
            <rFont val="Calibri"/>
            <family val="2"/>
          </rPr>
          <t xml:space="preserve">Field type : </t>
        </r>
        <r>
          <rPr>
            <sz val="11"/>
            <color rgb="FF000000"/>
            <rFont val="Calibri"/>
            <family val="2"/>
          </rPr>
          <t xml:space="preserve">free text
</t>
        </r>
      </text>
    </comment>
    <comment ref="H3" authorId="0" shapeId="0" xr:uid="{00000000-0006-0000-08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genus
</t>
        </r>
        <r>
          <rPr>
            <b/>
            <sz val="11"/>
            <color rgb="FF000000"/>
            <rFont val="Calibri"/>
            <family val="2"/>
          </rPr>
          <t xml:space="preserve">Example : </t>
        </r>
        <r>
          <rPr>
            <sz val="11"/>
            <color rgb="FF000000"/>
            <rFont val="Calibri"/>
            <family val="2"/>
          </rPr>
          <t xml:space="preserve">Lutjanus
</t>
        </r>
        <r>
          <rPr>
            <b/>
            <sz val="11"/>
            <color rgb="FF000000"/>
            <rFont val="Calibri"/>
            <family val="2"/>
          </rPr>
          <t xml:space="preserve">Field type : </t>
        </r>
        <r>
          <rPr>
            <sz val="11"/>
            <color rgb="FF000000"/>
            <rFont val="Calibri"/>
            <family val="2"/>
          </rPr>
          <t xml:space="preserve">free text
</t>
        </r>
      </text>
    </comment>
    <comment ref="I3" authorId="0" shapeId="0" xr:uid="{00000000-0006-0000-08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name of the first or species epithet of the scientificName.
</t>
        </r>
        <r>
          <rPr>
            <b/>
            <sz val="11"/>
            <color rgb="FF000000"/>
            <rFont val="Calibri"/>
            <family val="2"/>
          </rPr>
          <t xml:space="preserve">Example : </t>
        </r>
        <r>
          <rPr>
            <sz val="11"/>
            <color rgb="FF000000"/>
            <rFont val="Calibri"/>
            <family val="2"/>
          </rPr>
          <t xml:space="preserve">erythropterus
</t>
        </r>
        <r>
          <rPr>
            <b/>
            <sz val="11"/>
            <color rgb="FF000000"/>
            <rFont val="Calibri"/>
            <family val="2"/>
          </rPr>
          <t xml:space="preserve">Field type : </t>
        </r>
        <r>
          <rPr>
            <sz val="11"/>
            <color rgb="FF000000"/>
            <rFont val="Calibri"/>
            <family val="2"/>
          </rPr>
          <t xml:space="preserve">free text
</t>
        </r>
      </text>
    </comment>
    <comment ref="J3" authorId="0" shapeId="0" xr:uid="{00000000-0006-0000-0800-00000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full scientific name of the genus and species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text>
    </comment>
    <comment ref="K3" authorId="0" shapeId="0" xr:uid="{00000000-0006-0000-08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authorship information for the scientificName
</t>
        </r>
        <r>
          <rPr>
            <b/>
            <sz val="11"/>
            <color rgb="FF000000"/>
            <rFont val="Calibri"/>
            <family val="2"/>
          </rPr>
          <t xml:space="preserve">Example : </t>
        </r>
        <r>
          <rPr>
            <sz val="11"/>
            <color rgb="FF000000"/>
            <rFont val="Calibri"/>
            <family val="2"/>
          </rPr>
          <t xml:space="preserve">Bloch, 1790
</t>
        </r>
        <r>
          <rPr>
            <b/>
            <sz val="11"/>
            <color rgb="FF000000"/>
            <rFont val="Calibri"/>
            <family val="2"/>
          </rPr>
          <t xml:space="preserve">Field type : </t>
        </r>
        <r>
          <rPr>
            <sz val="11"/>
            <color rgb="FF000000"/>
            <rFont val="Calibri"/>
            <family val="2"/>
          </rPr>
          <t xml:space="preserve">free text
</t>
        </r>
      </text>
    </comment>
    <comment ref="L3" authorId="0" shapeId="0" xr:uid="{00000000-0006-0000-08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taxonomic rank of the most specific name in the scientificName
</t>
        </r>
        <r>
          <rPr>
            <b/>
            <sz val="11"/>
            <color rgb="FF000000"/>
            <rFont val="Calibri"/>
            <family val="2"/>
          </rPr>
          <t xml:space="preserve">Example : </t>
        </r>
        <r>
          <rPr>
            <sz val="11"/>
            <color rgb="FF000000"/>
            <rFont val="Calibri"/>
            <family val="2"/>
          </rPr>
          <t xml:space="preserve">genus
</t>
        </r>
        <r>
          <rPr>
            <b/>
            <sz val="11"/>
            <color rgb="FF000000"/>
            <rFont val="Calibri"/>
            <family val="2"/>
          </rPr>
          <t xml:space="preserve">Field type : </t>
        </r>
        <r>
          <rPr>
            <sz val="11"/>
            <color rgb="FFFF0000"/>
            <rFont val="Calibri"/>
            <family val="2"/>
          </rPr>
          <t xml:space="preserve">controlled vocabulary (kingdom | phylum | class | order | family | genus | species | other:)
</t>
        </r>
      </text>
    </comment>
    <comment ref="M3" authorId="0" shapeId="0" xr:uid="{00000000-0006-0000-08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An identifier for the assigned taxon (or taxa in the case of multiple hits). May be a global unique identifier or an identifier specific to the data set.
</t>
        </r>
        <r>
          <rPr>
            <b/>
            <sz val="11"/>
            <color rgb="FF000000"/>
            <rFont val="Calibri"/>
            <family val="2"/>
          </rPr>
          <t xml:space="preserve">Example : </t>
        </r>
        <r>
          <rPr>
            <sz val="11"/>
            <color rgb="FF000000"/>
            <rFont val="Calibri"/>
            <family val="2"/>
          </rPr>
          <t xml:space="preserve">218797.0
</t>
        </r>
        <r>
          <rPr>
            <b/>
            <sz val="11"/>
            <color rgb="FF000000"/>
            <rFont val="Calibri"/>
            <family val="2"/>
          </rPr>
          <t xml:space="preserve">Field type : </t>
        </r>
        <r>
          <rPr>
            <sz val="11"/>
            <color rgb="FF000000"/>
            <rFont val="Calibri"/>
            <family val="2"/>
          </rPr>
          <t xml:space="preserve">free text
</t>
        </r>
      </text>
    </comment>
    <comment ref="N3" authorId="0" shapeId="0" xr:uid="{00000000-0006-0000-08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taxonomy database corresponding to taxonID.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O3" authorId="0" shapeId="0" xr:uid="{00000000-0006-0000-08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string representing the taxonomic identification as it appeared in the original record (i.e. the database used such as NCBI). This could be the identification
</t>
        </r>
        <r>
          <rPr>
            <b/>
            <sz val="11"/>
            <color rgb="FF000000"/>
            <rFont val="Calibri"/>
            <family val="2"/>
          </rPr>
          <t xml:space="preserve">Example : </t>
        </r>
        <r>
          <rPr>
            <sz val="11"/>
            <color rgb="FF000000"/>
            <rFont val="Calibri"/>
            <family val="2"/>
          </rPr>
          <t xml:space="preserve">Eukaryota; Metazoa; Chordata; Actinopterygii; Perciformes; Lutjanidae; Lutjanus; Lutjanus_erythropterus
</t>
        </r>
        <r>
          <rPr>
            <b/>
            <sz val="11"/>
            <color rgb="FF000000"/>
            <rFont val="Calibri"/>
            <family val="2"/>
          </rPr>
          <t xml:space="preserve">Field type : </t>
        </r>
        <r>
          <rPr>
            <sz val="11"/>
            <color rgb="FF000000"/>
            <rFont val="Calibri"/>
            <family val="2"/>
          </rPr>
          <t xml:space="preserve">free text
</t>
        </r>
      </text>
    </comment>
    <comment ref="P3" authorId="0" shapeId="0" xr:uid="{00000000-0006-0000-08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Accession ID of the best matching sequence from a reference database
</t>
        </r>
        <r>
          <rPr>
            <b/>
            <sz val="11"/>
            <color rgb="FF000000"/>
            <rFont val="Calibri"/>
            <family val="2"/>
          </rPr>
          <t xml:space="preserve">Example : </t>
        </r>
        <r>
          <rPr>
            <sz val="11"/>
            <color rgb="FF000000"/>
            <rFont val="Calibri"/>
            <family val="2"/>
          </rPr>
          <t xml:space="preserve">MG002616.1
</t>
        </r>
        <r>
          <rPr>
            <b/>
            <sz val="11"/>
            <color rgb="FF000000"/>
            <rFont val="Calibri"/>
            <family val="2"/>
          </rPr>
          <t xml:space="preserve">Field type : </t>
        </r>
        <r>
          <rPr>
            <sz val="11"/>
            <color rgb="FF000000"/>
            <rFont val="Calibri"/>
            <family val="2"/>
          </rPr>
          <t xml:space="preserve">free text
</t>
        </r>
      </text>
    </comment>
    <comment ref="Q3" authorId="0" shapeId="0" xr:uid="{00000000-0006-0000-08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Reference database (i.e. sequences not generated as part of the current study) of the best matching sequence (accesssion_id)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R3" authorId="0" shapeId="0" xr:uid="{00000000-0006-0000-08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of sequence identity between a query sequence obtained from eDNA and a reference sequence in a database. If multiple species were assigned to one ASV/OTU, a range can be entered separated by  "-" (e.g., 98.7-99.2).
</t>
        </r>
        <r>
          <rPr>
            <b/>
            <sz val="11"/>
            <color rgb="FF000000"/>
            <rFont val="Calibri"/>
            <family val="2"/>
          </rPr>
          <t xml:space="preserve">Example : </t>
        </r>
        <r>
          <rPr>
            <sz val="11"/>
            <color rgb="FF000000"/>
            <rFont val="Calibri"/>
            <family val="2"/>
          </rPr>
          <t xml:space="preserve">99.8
</t>
        </r>
        <r>
          <rPr>
            <b/>
            <sz val="11"/>
            <color rgb="FF000000"/>
            <rFont val="Calibri"/>
            <family val="2"/>
          </rPr>
          <t xml:space="preserve">Field type : </t>
        </r>
        <r>
          <rPr>
            <sz val="11"/>
            <color rgb="FF000000"/>
            <rFont val="Calibri"/>
            <family val="2"/>
          </rPr>
          <t xml:space="preserve">numeric
</t>
        </r>
      </text>
    </comment>
    <comment ref="S3" authorId="0" shapeId="0" xr:uid="{00000000-0006-0000-08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coverage of the query sequence that aligns with a reference sequence in a database. If multiple species were assigned to one ASV/OTU, a range can be entered separated by  "-" (e.g., 98.7-99.2).  Unit = %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T3" authorId="0" shapeId="0" xr:uid="{00000000-0006-0000-08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Confidence score for the taxonomic assignment, such as from bootstrapping. If multiple species were assigned to one ASV/OTU, a range can be entered separated by  "-" (e.g., 0.996-0.998)
</t>
        </r>
        <r>
          <rPr>
            <b/>
            <sz val="11"/>
            <color rgb="FF000000"/>
            <rFont val="Calibri"/>
            <family val="2"/>
          </rPr>
          <t xml:space="preserve">Example : </t>
        </r>
        <r>
          <rPr>
            <sz val="11"/>
            <color rgb="FF000000"/>
            <rFont val="Calibri"/>
            <family val="2"/>
          </rPr>
          <t xml:space="preserve">0.997
</t>
        </r>
        <r>
          <rPr>
            <b/>
            <sz val="11"/>
            <color rgb="FF000000"/>
            <rFont val="Calibri"/>
            <family val="2"/>
          </rPr>
          <t xml:space="preserve">Field type : </t>
        </r>
        <r>
          <rPr>
            <sz val="11"/>
            <color rgb="FF000000"/>
            <rFont val="Calibri"/>
            <family val="2"/>
          </rPr>
          <t xml:space="preserve">numeric
</t>
        </r>
      </text>
    </comment>
    <comment ref="U3" authorId="0" shapeId="0" xr:uid="{00000000-0006-0000-08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Comments or notes about the taxonomic assignment.
</t>
        </r>
        <r>
          <rPr>
            <b/>
            <sz val="11"/>
            <color rgb="FF000000"/>
            <rFont val="Calibri"/>
            <family val="2"/>
          </rPr>
          <t xml:space="preserve">Example : </t>
        </r>
        <r>
          <rPr>
            <sz val="11"/>
            <color rgb="FF000000"/>
            <rFont val="Calibri"/>
            <family val="2"/>
          </rPr>
          <t xml:space="preserve">Taxonomic assignment was performed at the most precise taxonomic level common to the hypothetical taxa.
</t>
        </r>
        <r>
          <rPr>
            <b/>
            <sz val="11"/>
            <color rgb="FF000000"/>
            <rFont val="Calibri"/>
            <family val="2"/>
          </rPr>
          <t xml:space="preserve">Field type : </t>
        </r>
        <r>
          <rPr>
            <sz val="11"/>
            <color rgb="FF000000"/>
            <rFont val="Calibri"/>
            <family val="2"/>
          </rPr>
          <t xml:space="preserve">free text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tak025</author>
  </authors>
  <commentList>
    <comment ref="B3" authorId="0" shapeId="0" xr:uid="{00000000-0006-0000-0900-000001000000}">
      <text>
        <r>
          <rPr>
            <b/>
            <sz val="11"/>
            <color rgb="FF000000"/>
            <rFont val="Calibri"/>
            <family val="2"/>
          </rPr>
          <t xml:space="preserve">Requirement level : </t>
        </r>
        <r>
          <rPr>
            <b/>
            <sz val="11"/>
            <color rgb="FFFF0000"/>
            <rFont val="Calibri"/>
            <family val="2"/>
          </rPr>
          <t xml:space="preserve">Mandatory (If assay_type = metabarcoding)
</t>
        </r>
        <r>
          <rPr>
            <b/>
            <sz val="11"/>
            <color rgb="FF000000"/>
            <rFont val="Calibri"/>
            <family val="2"/>
          </rPr>
          <t xml:space="preserve">Description : </t>
        </r>
        <r>
          <rPr>
            <sz val="11"/>
            <color rgb="FF000000"/>
            <rFont val="Calibri"/>
            <family val="2"/>
          </rPr>
          <t xml:space="preserve">The DNA sequence
</t>
        </r>
        <r>
          <rPr>
            <b/>
            <sz val="11"/>
            <color rgb="FF000000"/>
            <rFont val="Calibri"/>
            <family val="2"/>
          </rPr>
          <t xml:space="preserve">Example : </t>
        </r>
        <r>
          <rPr>
            <sz val="11"/>
            <color rgb="FF000000"/>
            <rFont val="Calibri"/>
            <family val="2"/>
          </rPr>
          <t xml:space="preserve">GGTGTTTAAATTTCGGTCTGTAAGAAGTATTGTAATCCCAGCCGCTAGGACTGGAAGGGAAAGAAGGAGAAGGACAGCTGTAATTAGCACGGCTCAGACAAACAAGGGTGTCTGGTATTGGGAAATAGCTGGGGGTTTCATGTTAATAATTGTGGTAATAAAATTGATAGCACCAAGGATTGAAGAGACCCCGGCTAGGTGGAGAGAA
</t>
        </r>
        <r>
          <rPr>
            <b/>
            <sz val="11"/>
            <color rgb="FF000000"/>
            <rFont val="Calibri"/>
            <family val="2"/>
          </rPr>
          <t xml:space="preserve">Field type : </t>
        </r>
        <r>
          <rPr>
            <sz val="11"/>
            <color rgb="FF000000"/>
            <rFont val="Calibri"/>
            <family val="2"/>
          </rPr>
          <t xml:space="preserve">free text
</t>
        </r>
      </text>
    </comment>
    <comment ref="C3" authorId="0" shapeId="0" xr:uid="{00000000-0006-0000-0900-00000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kingdom
</t>
        </r>
        <r>
          <rPr>
            <b/>
            <sz val="11"/>
            <color rgb="FF000000"/>
            <rFont val="Calibri"/>
            <family val="2"/>
          </rPr>
          <t xml:space="preserve">Example : </t>
        </r>
        <r>
          <rPr>
            <sz val="11"/>
            <color rgb="FF000000"/>
            <rFont val="Calibri"/>
            <family val="2"/>
          </rPr>
          <t xml:space="preserve">Animalia
</t>
        </r>
        <r>
          <rPr>
            <b/>
            <sz val="11"/>
            <color rgb="FF000000"/>
            <rFont val="Calibri"/>
            <family val="2"/>
          </rPr>
          <t xml:space="preserve">Field type : </t>
        </r>
        <r>
          <rPr>
            <sz val="11"/>
            <color rgb="FF000000"/>
            <rFont val="Calibri"/>
            <family val="2"/>
          </rPr>
          <t xml:space="preserve">free text
</t>
        </r>
      </text>
    </comment>
    <comment ref="D3" authorId="0" shapeId="0" xr:uid="{00000000-0006-0000-0900-00000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phylum or division
</t>
        </r>
        <r>
          <rPr>
            <b/>
            <sz val="11"/>
            <color rgb="FF000000"/>
            <rFont val="Calibri"/>
            <family val="2"/>
          </rPr>
          <t xml:space="preserve">Example : </t>
        </r>
        <r>
          <rPr>
            <sz val="11"/>
            <color rgb="FF000000"/>
            <rFont val="Calibri"/>
            <family val="2"/>
          </rPr>
          <t xml:space="preserve">Chordata
</t>
        </r>
        <r>
          <rPr>
            <b/>
            <sz val="11"/>
            <color rgb="FF000000"/>
            <rFont val="Calibri"/>
            <family val="2"/>
          </rPr>
          <t xml:space="preserve">Field type : </t>
        </r>
        <r>
          <rPr>
            <sz val="11"/>
            <color rgb="FF000000"/>
            <rFont val="Calibri"/>
            <family val="2"/>
          </rPr>
          <t xml:space="preserve">free text
</t>
        </r>
      </text>
    </comment>
    <comment ref="E3" authorId="0" shapeId="0" xr:uid="{00000000-0006-0000-0900-000004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class
</t>
        </r>
        <r>
          <rPr>
            <b/>
            <sz val="11"/>
            <color rgb="FF000000"/>
            <rFont val="Calibri"/>
            <family val="2"/>
          </rPr>
          <t xml:space="preserve">Example : </t>
        </r>
        <r>
          <rPr>
            <sz val="11"/>
            <color rgb="FF000000"/>
            <rFont val="Calibri"/>
            <family val="2"/>
          </rPr>
          <t xml:space="preserve">Actinopterygii
</t>
        </r>
        <r>
          <rPr>
            <b/>
            <sz val="11"/>
            <color rgb="FF000000"/>
            <rFont val="Calibri"/>
            <family val="2"/>
          </rPr>
          <t xml:space="preserve">Field type : </t>
        </r>
        <r>
          <rPr>
            <sz val="11"/>
            <color rgb="FF000000"/>
            <rFont val="Calibri"/>
            <family val="2"/>
          </rPr>
          <t xml:space="preserve">free text
</t>
        </r>
      </text>
    </comment>
    <comment ref="F3" authorId="0" shapeId="0" xr:uid="{00000000-0006-0000-0900-000005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order
</t>
        </r>
        <r>
          <rPr>
            <b/>
            <sz val="11"/>
            <color rgb="FF000000"/>
            <rFont val="Calibri"/>
            <family val="2"/>
          </rPr>
          <t xml:space="preserve">Example : </t>
        </r>
        <r>
          <rPr>
            <sz val="11"/>
            <color rgb="FF000000"/>
            <rFont val="Calibri"/>
            <family val="2"/>
          </rPr>
          <t xml:space="preserve">Perciformes
</t>
        </r>
        <r>
          <rPr>
            <b/>
            <sz val="11"/>
            <color rgb="FF000000"/>
            <rFont val="Calibri"/>
            <family val="2"/>
          </rPr>
          <t xml:space="preserve">Field type : </t>
        </r>
        <r>
          <rPr>
            <sz val="11"/>
            <color rgb="FF000000"/>
            <rFont val="Calibri"/>
            <family val="2"/>
          </rPr>
          <t xml:space="preserve">free text
</t>
        </r>
      </text>
    </comment>
    <comment ref="G3" authorId="0" shapeId="0" xr:uid="{00000000-0006-0000-0900-000006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family
</t>
        </r>
        <r>
          <rPr>
            <b/>
            <sz val="11"/>
            <color rgb="FF000000"/>
            <rFont val="Calibri"/>
            <family val="2"/>
          </rPr>
          <t xml:space="preserve">Example : </t>
        </r>
        <r>
          <rPr>
            <sz val="11"/>
            <color rgb="FF000000"/>
            <rFont val="Calibri"/>
            <family val="2"/>
          </rPr>
          <t xml:space="preserve">Lutjanidae
</t>
        </r>
        <r>
          <rPr>
            <b/>
            <sz val="11"/>
            <color rgb="FF000000"/>
            <rFont val="Calibri"/>
            <family val="2"/>
          </rPr>
          <t xml:space="preserve">Field type : </t>
        </r>
        <r>
          <rPr>
            <sz val="11"/>
            <color rgb="FF000000"/>
            <rFont val="Calibri"/>
            <family val="2"/>
          </rPr>
          <t xml:space="preserve">free text
</t>
        </r>
      </text>
    </comment>
    <comment ref="H3" authorId="0" shapeId="0" xr:uid="{00000000-0006-0000-0900-000007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full scientific name of the genus
</t>
        </r>
        <r>
          <rPr>
            <b/>
            <sz val="11"/>
            <color rgb="FF000000"/>
            <rFont val="Calibri"/>
            <family val="2"/>
          </rPr>
          <t xml:space="preserve">Example : </t>
        </r>
        <r>
          <rPr>
            <sz val="11"/>
            <color rgb="FF000000"/>
            <rFont val="Calibri"/>
            <family val="2"/>
          </rPr>
          <t xml:space="preserve">Lutjanus
</t>
        </r>
        <r>
          <rPr>
            <b/>
            <sz val="11"/>
            <color rgb="FF000000"/>
            <rFont val="Calibri"/>
            <family val="2"/>
          </rPr>
          <t xml:space="preserve">Field type : </t>
        </r>
        <r>
          <rPr>
            <sz val="11"/>
            <color rgb="FF000000"/>
            <rFont val="Calibri"/>
            <family val="2"/>
          </rPr>
          <t xml:space="preserve">free text
</t>
        </r>
      </text>
    </comment>
    <comment ref="I3" authorId="0" shapeId="0" xr:uid="{00000000-0006-0000-0900-000008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name of the first or species epithet of the scientificName.
</t>
        </r>
        <r>
          <rPr>
            <b/>
            <sz val="11"/>
            <color rgb="FF000000"/>
            <rFont val="Calibri"/>
            <family val="2"/>
          </rPr>
          <t xml:space="preserve">Example : </t>
        </r>
        <r>
          <rPr>
            <sz val="11"/>
            <color rgb="FF000000"/>
            <rFont val="Calibri"/>
            <family val="2"/>
          </rPr>
          <t xml:space="preserve">erythropterus
</t>
        </r>
        <r>
          <rPr>
            <b/>
            <sz val="11"/>
            <color rgb="FF000000"/>
            <rFont val="Calibri"/>
            <family val="2"/>
          </rPr>
          <t xml:space="preserve">Field type : </t>
        </r>
        <r>
          <rPr>
            <sz val="11"/>
            <color rgb="FF000000"/>
            <rFont val="Calibri"/>
            <family val="2"/>
          </rPr>
          <t xml:space="preserve">free text
</t>
        </r>
      </text>
    </comment>
    <comment ref="J3" authorId="0" shapeId="0" xr:uid="{00000000-0006-0000-0900-000009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full scientific name of the genus and species
</t>
        </r>
        <r>
          <rPr>
            <b/>
            <sz val="11"/>
            <color rgb="FF000000"/>
            <rFont val="Calibri"/>
            <family val="2"/>
          </rPr>
          <t xml:space="preserve">Example : </t>
        </r>
        <r>
          <rPr>
            <sz val="11"/>
            <color rgb="FF000000"/>
            <rFont val="Calibri"/>
            <family val="2"/>
          </rPr>
          <t xml:space="preserve">Lutjanus erythropterus
</t>
        </r>
        <r>
          <rPr>
            <b/>
            <sz val="11"/>
            <color rgb="FF000000"/>
            <rFont val="Calibri"/>
            <family val="2"/>
          </rPr>
          <t xml:space="preserve">Field type : </t>
        </r>
        <r>
          <rPr>
            <sz val="11"/>
            <color rgb="FF000000"/>
            <rFont val="Calibri"/>
            <family val="2"/>
          </rPr>
          <t xml:space="preserve">free text
</t>
        </r>
      </text>
    </comment>
    <comment ref="K3" authorId="0" shapeId="0" xr:uid="{00000000-0006-0000-0900-00000A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authorship information for the scientificName
</t>
        </r>
        <r>
          <rPr>
            <b/>
            <sz val="11"/>
            <color rgb="FF000000"/>
            <rFont val="Calibri"/>
            <family val="2"/>
          </rPr>
          <t xml:space="preserve">Example : </t>
        </r>
        <r>
          <rPr>
            <sz val="11"/>
            <color rgb="FF000000"/>
            <rFont val="Calibri"/>
            <family val="2"/>
          </rPr>
          <t xml:space="preserve">Bloch, 1790
</t>
        </r>
        <r>
          <rPr>
            <b/>
            <sz val="11"/>
            <color rgb="FF000000"/>
            <rFont val="Calibri"/>
            <family val="2"/>
          </rPr>
          <t xml:space="preserve">Field type : </t>
        </r>
        <r>
          <rPr>
            <sz val="11"/>
            <color rgb="FF000000"/>
            <rFont val="Calibri"/>
            <family val="2"/>
          </rPr>
          <t xml:space="preserve">free text
</t>
        </r>
      </text>
    </comment>
    <comment ref="L3" authorId="0" shapeId="0" xr:uid="{00000000-0006-0000-0900-00000B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taxonomic rank of the most specific name in the scientificName
</t>
        </r>
        <r>
          <rPr>
            <b/>
            <sz val="11"/>
            <color rgb="FF000000"/>
            <rFont val="Calibri"/>
            <family val="2"/>
          </rPr>
          <t xml:space="preserve">Example : </t>
        </r>
        <r>
          <rPr>
            <sz val="11"/>
            <color rgb="FF000000"/>
            <rFont val="Calibri"/>
            <family val="2"/>
          </rPr>
          <t xml:space="preserve">genus
</t>
        </r>
        <r>
          <rPr>
            <b/>
            <sz val="11"/>
            <color rgb="FF000000"/>
            <rFont val="Calibri"/>
            <family val="2"/>
          </rPr>
          <t xml:space="preserve">Field type : </t>
        </r>
        <r>
          <rPr>
            <sz val="11"/>
            <color rgb="FFFF0000"/>
            <rFont val="Calibri"/>
            <family val="2"/>
          </rPr>
          <t xml:space="preserve">controlled vocabulary (kingdom | phylum | class | order | family | genus | species | other:)
</t>
        </r>
      </text>
    </comment>
    <comment ref="M3" authorId="0" shapeId="0" xr:uid="{00000000-0006-0000-0900-00000C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An identifier for the assigned taxon (or taxa in the case of multiple hits). May be a global unique identifier or an identifier specific to the data set.
</t>
        </r>
        <r>
          <rPr>
            <b/>
            <sz val="11"/>
            <color rgb="FF000000"/>
            <rFont val="Calibri"/>
            <family val="2"/>
          </rPr>
          <t xml:space="preserve">Example : </t>
        </r>
        <r>
          <rPr>
            <sz val="11"/>
            <color rgb="FF000000"/>
            <rFont val="Calibri"/>
            <family val="2"/>
          </rPr>
          <t xml:space="preserve">218797.0
</t>
        </r>
        <r>
          <rPr>
            <b/>
            <sz val="11"/>
            <color rgb="FF000000"/>
            <rFont val="Calibri"/>
            <family val="2"/>
          </rPr>
          <t xml:space="preserve">Field type : </t>
        </r>
        <r>
          <rPr>
            <sz val="11"/>
            <color rgb="FF000000"/>
            <rFont val="Calibri"/>
            <family val="2"/>
          </rPr>
          <t xml:space="preserve">free text
</t>
        </r>
      </text>
    </comment>
    <comment ref="N3" authorId="0" shapeId="0" xr:uid="{00000000-0006-0000-0900-00000D000000}">
      <text>
        <r>
          <rPr>
            <b/>
            <sz val="11"/>
            <color rgb="FF000000"/>
            <rFont val="Calibri"/>
            <family val="2"/>
          </rPr>
          <t xml:space="preserve">Requirement level : </t>
        </r>
        <r>
          <rPr>
            <sz val="11"/>
            <color rgb="FF000000"/>
            <rFont val="Calibri"/>
            <family val="2"/>
          </rPr>
          <t xml:space="preserve">Highly recommended
</t>
        </r>
        <r>
          <rPr>
            <b/>
            <sz val="11"/>
            <color rgb="FF000000"/>
            <rFont val="Calibri"/>
            <family val="2"/>
          </rPr>
          <t xml:space="preserve">Description : </t>
        </r>
        <r>
          <rPr>
            <sz val="11"/>
            <color rgb="FF000000"/>
            <rFont val="Calibri"/>
            <family val="2"/>
          </rPr>
          <t xml:space="preserve">The taxonomy database corresponding to taxonID.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O3" authorId="0" shapeId="0" xr:uid="{00000000-0006-0000-0900-00000E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A string representing the taxonomic identification as it appeared in the original record (i.e. the database used such as NCBI). This could be the identification
</t>
        </r>
        <r>
          <rPr>
            <b/>
            <sz val="11"/>
            <color rgb="FF000000"/>
            <rFont val="Calibri"/>
            <family val="2"/>
          </rPr>
          <t xml:space="preserve">Example : </t>
        </r>
        <r>
          <rPr>
            <sz val="11"/>
            <color rgb="FF000000"/>
            <rFont val="Calibri"/>
            <family val="2"/>
          </rPr>
          <t xml:space="preserve">Eukaryota; Metazoa; Chordata; Actinopterygii; Perciformes; Lutjanidae; Lutjanus; Lutjanus_erythropterus
</t>
        </r>
        <r>
          <rPr>
            <b/>
            <sz val="11"/>
            <color rgb="FF000000"/>
            <rFont val="Calibri"/>
            <family val="2"/>
          </rPr>
          <t xml:space="preserve">Field type : </t>
        </r>
        <r>
          <rPr>
            <sz val="11"/>
            <color rgb="FF000000"/>
            <rFont val="Calibri"/>
            <family val="2"/>
          </rPr>
          <t xml:space="preserve">free text
</t>
        </r>
      </text>
    </comment>
    <comment ref="P3" authorId="0" shapeId="0" xr:uid="{00000000-0006-0000-0900-00000F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Accession ID of the best matching sequence from a reference database
</t>
        </r>
        <r>
          <rPr>
            <b/>
            <sz val="11"/>
            <color rgb="FF000000"/>
            <rFont val="Calibri"/>
            <family val="2"/>
          </rPr>
          <t xml:space="preserve">Example : </t>
        </r>
        <r>
          <rPr>
            <sz val="11"/>
            <color rgb="FF000000"/>
            <rFont val="Calibri"/>
            <family val="2"/>
          </rPr>
          <t xml:space="preserve">MG002616.1
</t>
        </r>
        <r>
          <rPr>
            <b/>
            <sz val="11"/>
            <color rgb="FF000000"/>
            <rFont val="Calibri"/>
            <family val="2"/>
          </rPr>
          <t xml:space="preserve">Field type : </t>
        </r>
        <r>
          <rPr>
            <sz val="11"/>
            <color rgb="FF000000"/>
            <rFont val="Calibri"/>
            <family val="2"/>
          </rPr>
          <t xml:space="preserve">free text
</t>
        </r>
      </text>
    </comment>
    <comment ref="Q3" authorId="0" shapeId="0" xr:uid="{00000000-0006-0000-0900-000010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Reference database (i.e. sequences not generated as part of the current study) of the best matching sequence (accesssion_id)
</t>
        </r>
        <r>
          <rPr>
            <b/>
            <sz val="11"/>
            <color rgb="FF000000"/>
            <rFont val="Calibri"/>
            <family val="2"/>
          </rPr>
          <t xml:space="preserve">Example : </t>
        </r>
        <r>
          <rPr>
            <sz val="11"/>
            <color rgb="FF000000"/>
            <rFont val="Calibri"/>
            <family val="2"/>
          </rPr>
          <t xml:space="preserve">NCBI
</t>
        </r>
        <r>
          <rPr>
            <b/>
            <sz val="11"/>
            <color rgb="FF000000"/>
            <rFont val="Calibri"/>
            <family val="2"/>
          </rPr>
          <t xml:space="preserve">Field type : </t>
        </r>
        <r>
          <rPr>
            <sz val="11"/>
            <color rgb="FF000000"/>
            <rFont val="Calibri"/>
            <family val="2"/>
          </rPr>
          <t xml:space="preserve">free text
</t>
        </r>
      </text>
    </comment>
    <comment ref="R3" authorId="0" shapeId="0" xr:uid="{00000000-0006-0000-0900-000011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of sequence identity between a query sequence obtained from eDNA and a reference sequence in a database. If multiple species were assigned to one ASV/OTU, a range can be entered separated by  "-" (e.g., 98.7-99.2).
</t>
        </r>
        <r>
          <rPr>
            <b/>
            <sz val="11"/>
            <color rgb="FF000000"/>
            <rFont val="Calibri"/>
            <family val="2"/>
          </rPr>
          <t xml:space="preserve">Example : </t>
        </r>
        <r>
          <rPr>
            <sz val="11"/>
            <color rgb="FF000000"/>
            <rFont val="Calibri"/>
            <family val="2"/>
          </rPr>
          <t xml:space="preserve">99.8
</t>
        </r>
        <r>
          <rPr>
            <b/>
            <sz val="11"/>
            <color rgb="FF000000"/>
            <rFont val="Calibri"/>
            <family val="2"/>
          </rPr>
          <t xml:space="preserve">Field type : </t>
        </r>
        <r>
          <rPr>
            <sz val="11"/>
            <color rgb="FF000000"/>
            <rFont val="Calibri"/>
            <family val="2"/>
          </rPr>
          <t xml:space="preserve">numeric
</t>
        </r>
      </text>
    </comment>
    <comment ref="S3" authorId="0" shapeId="0" xr:uid="{00000000-0006-0000-0900-000012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The percentage coverage of the query sequence that aligns with a reference sequence in a database. If multiple species were assigned to one ASV/OTU, a range can be entered separated by  "-" (e.g., 98.7-99.2).  Unit = %
</t>
        </r>
        <r>
          <rPr>
            <b/>
            <sz val="11"/>
            <color rgb="FF000000"/>
            <rFont val="Calibri"/>
            <family val="2"/>
          </rPr>
          <t xml:space="preserve">Example : </t>
        </r>
        <r>
          <rPr>
            <sz val="11"/>
            <color rgb="FF000000"/>
            <rFont val="Calibri"/>
            <family val="2"/>
          </rPr>
          <t xml:space="preserve">100.0
</t>
        </r>
        <r>
          <rPr>
            <b/>
            <sz val="11"/>
            <color rgb="FF000000"/>
            <rFont val="Calibri"/>
            <family val="2"/>
          </rPr>
          <t xml:space="preserve">Field type : </t>
        </r>
        <r>
          <rPr>
            <sz val="11"/>
            <color rgb="FF000000"/>
            <rFont val="Calibri"/>
            <family val="2"/>
          </rPr>
          <t xml:space="preserve">numeric
</t>
        </r>
      </text>
    </comment>
    <comment ref="T3" authorId="0" shapeId="0" xr:uid="{00000000-0006-0000-0900-000013000000}">
      <text>
        <r>
          <rPr>
            <b/>
            <sz val="11"/>
            <color rgb="FF000000"/>
            <rFont val="Calibri"/>
            <family val="2"/>
          </rPr>
          <t xml:space="preserve">Requirement level : </t>
        </r>
        <r>
          <rPr>
            <sz val="11"/>
            <color rgb="FF000000"/>
            <rFont val="Calibri"/>
            <family val="2"/>
          </rPr>
          <t xml:space="preserve">Recommended
</t>
        </r>
        <r>
          <rPr>
            <b/>
            <sz val="11"/>
            <color rgb="FF000000"/>
            <rFont val="Calibri"/>
            <family val="2"/>
          </rPr>
          <t xml:space="preserve">Description : </t>
        </r>
        <r>
          <rPr>
            <sz val="11"/>
            <color rgb="FF000000"/>
            <rFont val="Calibri"/>
            <family val="2"/>
          </rPr>
          <t xml:space="preserve">Confidence score for the taxonomic assignment, such as from bootstrapping. If multiple species were assigned to one ASV/OTU, a range can be entered separated by  "-" (e.g., 0.996-0.998)
</t>
        </r>
        <r>
          <rPr>
            <b/>
            <sz val="11"/>
            <color rgb="FF000000"/>
            <rFont val="Calibri"/>
            <family val="2"/>
          </rPr>
          <t xml:space="preserve">Example : </t>
        </r>
        <r>
          <rPr>
            <sz val="11"/>
            <color rgb="FF000000"/>
            <rFont val="Calibri"/>
            <family val="2"/>
          </rPr>
          <t xml:space="preserve">0.997
</t>
        </r>
        <r>
          <rPr>
            <b/>
            <sz val="11"/>
            <color rgb="FF000000"/>
            <rFont val="Calibri"/>
            <family val="2"/>
          </rPr>
          <t xml:space="preserve">Field type : </t>
        </r>
        <r>
          <rPr>
            <sz val="11"/>
            <color rgb="FF000000"/>
            <rFont val="Calibri"/>
            <family val="2"/>
          </rPr>
          <t xml:space="preserve">numeric
</t>
        </r>
      </text>
    </comment>
    <comment ref="U3" authorId="0" shapeId="0" xr:uid="{00000000-0006-0000-0900-000014000000}">
      <text>
        <r>
          <rPr>
            <b/>
            <sz val="11"/>
            <color rgb="FF000000"/>
            <rFont val="Calibri"/>
            <family val="2"/>
          </rPr>
          <t xml:space="preserve">Requirement level : </t>
        </r>
        <r>
          <rPr>
            <sz val="11"/>
            <color rgb="FF000000"/>
            <rFont val="Calibri"/>
            <family val="2"/>
          </rPr>
          <t xml:space="preserve">Optional
</t>
        </r>
        <r>
          <rPr>
            <b/>
            <sz val="11"/>
            <color rgb="FF000000"/>
            <rFont val="Calibri"/>
            <family val="2"/>
          </rPr>
          <t xml:space="preserve">Description : </t>
        </r>
        <r>
          <rPr>
            <sz val="11"/>
            <color rgb="FF000000"/>
            <rFont val="Calibri"/>
            <family val="2"/>
          </rPr>
          <t xml:space="preserve">Comments or notes about the taxonomic assignment.
</t>
        </r>
        <r>
          <rPr>
            <b/>
            <sz val="11"/>
            <color rgb="FF000000"/>
            <rFont val="Calibri"/>
            <family val="2"/>
          </rPr>
          <t xml:space="preserve">Example : </t>
        </r>
        <r>
          <rPr>
            <sz val="11"/>
            <color rgb="FF000000"/>
            <rFont val="Calibri"/>
            <family val="2"/>
          </rPr>
          <t xml:space="preserve">Taxonomic assignment was performed at the most precise taxonomic level common to the hypothetical taxa.
</t>
        </r>
        <r>
          <rPr>
            <b/>
            <sz val="11"/>
            <color rgb="FF000000"/>
            <rFont val="Calibri"/>
            <family val="2"/>
          </rPr>
          <t xml:space="preserve">Field type : </t>
        </r>
        <r>
          <rPr>
            <sz val="11"/>
            <color rgb="FF000000"/>
            <rFont val="Calibri"/>
            <family val="2"/>
          </rPr>
          <t xml:space="preserve">free text
</t>
        </r>
      </text>
    </comment>
  </commentList>
</comments>
</file>

<file path=xl/sharedStrings.xml><?xml version="1.0" encoding="utf-8"?>
<sst xmlns="http://schemas.openxmlformats.org/spreadsheetml/2006/main" count="7981" uniqueCount="1280">
  <si>
    <t>The templates were generated using the FAIR eDNA checklist version of;</t>
  </si>
  <si>
    <t>FAIRe_checklist_v1.0.2.xlsx</t>
  </si>
  <si>
    <t/>
  </si>
  <si>
    <t>Date/Time generated;</t>
  </si>
  <si>
    <t>2025-07-02T11:34:09+08:00</t>
  </si>
  <si>
    <t>Note: This template includes all data components and terms from the FAIR eDNA checklist, encompassing sections for both targeted assays and metabarcoding assay types.</t>
  </si>
  <si>
    <t>Requirement levels;</t>
  </si>
  <si>
    <t>M = Mandatory</t>
  </si>
  <si>
    <t>HR = Highly recommended</t>
  </si>
  <si>
    <t>R = Recommended</t>
  </si>
  <si>
    <t>O = Optional</t>
  </si>
  <si>
    <t>requirement_level_code</t>
  </si>
  <si>
    <t>section</t>
  </si>
  <si>
    <t>term_name</t>
  </si>
  <si>
    <t>project_level</t>
  </si>
  <si>
    <t>M</t>
  </si>
  <si>
    <t>Project</t>
  </si>
  <si>
    <t>recordedBy</t>
  </si>
  <si>
    <t>R</t>
  </si>
  <si>
    <t>recordedByID</t>
  </si>
  <si>
    <t>project_contact</t>
  </si>
  <si>
    <t>institution</t>
  </si>
  <si>
    <t>institutionID</t>
  </si>
  <si>
    <t>project_name</t>
  </si>
  <si>
    <t>project_id</t>
  </si>
  <si>
    <t>O</t>
  </si>
  <si>
    <t>parent_project_id</t>
  </si>
  <si>
    <t>study_factor</t>
  </si>
  <si>
    <t>assay_type</t>
  </si>
  <si>
    <t>HR</t>
  </si>
  <si>
    <t>sterilise_method</t>
  </si>
  <si>
    <t>neg_cont_0_1</t>
  </si>
  <si>
    <t>pos_cont_0_1</t>
  </si>
  <si>
    <t>Data management</t>
  </si>
  <si>
    <t>checkls_ver</t>
  </si>
  <si>
    <t>mod_date</t>
  </si>
  <si>
    <t>license</t>
  </si>
  <si>
    <t>rightsHolder</t>
  </si>
  <si>
    <t>accessRights</t>
  </si>
  <si>
    <t>informationWithheld</t>
  </si>
  <si>
    <t>dataGeneralizations</t>
  </si>
  <si>
    <t>bibliographicCitation</t>
  </si>
  <si>
    <t>associated_resource</t>
  </si>
  <si>
    <t>code_repo</t>
  </si>
  <si>
    <t>Sample collection</t>
  </si>
  <si>
    <t>biological_rep</t>
  </si>
  <si>
    <t>PCR</t>
  </si>
  <si>
    <t>pcr_0_1</t>
  </si>
  <si>
    <t>inhibition_check_0_1</t>
  </si>
  <si>
    <t>inhibition_check</t>
  </si>
  <si>
    <t>thermocycler</t>
  </si>
  <si>
    <t>assay_name</t>
  </si>
  <si>
    <t>assay_validation</t>
  </si>
  <si>
    <t>targetTaxonomicAssay</t>
  </si>
  <si>
    <t>targetTaxonomicScope</t>
  </si>
  <si>
    <t>target_gene</t>
  </si>
  <si>
    <t>target_subfragment</t>
  </si>
  <si>
    <t>ampliconSize</t>
  </si>
  <si>
    <t>pcr_primer_forward</t>
  </si>
  <si>
    <t>pcr_primer_reverse</t>
  </si>
  <si>
    <t>pcr_primer_name_forward</t>
  </si>
  <si>
    <t>pcr_primer_name_reverse</t>
  </si>
  <si>
    <t>pcr_primer_reference_forward</t>
  </si>
  <si>
    <t>pcr_primer_reference_reverse</t>
  </si>
  <si>
    <t>pcr_primer_vol_forward</t>
  </si>
  <si>
    <t>pcr_primer_vol_reverse</t>
  </si>
  <si>
    <t>pcr_primer_conc_forward</t>
  </si>
  <si>
    <t>pcr_primer_conc_reverse</t>
  </si>
  <si>
    <t>probeReporter</t>
  </si>
  <si>
    <t>probeQuencher</t>
  </si>
  <si>
    <t>probe_seq</t>
  </si>
  <si>
    <t>probe_ref</t>
  </si>
  <si>
    <t>probe_conc</t>
  </si>
  <si>
    <t>commercial_mm</t>
  </si>
  <si>
    <t>custom_mm</t>
  </si>
  <si>
    <t>block_seq</t>
  </si>
  <si>
    <t>block_ref</t>
  </si>
  <si>
    <t>block_taxa</t>
  </si>
  <si>
    <t>amplificationReactionVolume</t>
  </si>
  <si>
    <t>pcr_dna_vol</t>
  </si>
  <si>
    <t>pcr_rep</t>
  </si>
  <si>
    <t>nucl_acid_amp</t>
  </si>
  <si>
    <t>pcr_cond</t>
  </si>
  <si>
    <t>annealingTemp</t>
  </si>
  <si>
    <t>pcr_cycles</t>
  </si>
  <si>
    <t>pcr_analysis_software</t>
  </si>
  <si>
    <t>pcr_method_additional</t>
  </si>
  <si>
    <t>Targeted assay detection</t>
  </si>
  <si>
    <t>amp_vis_method</t>
  </si>
  <si>
    <t>detection_criteria</t>
  </si>
  <si>
    <t>lod_method</t>
  </si>
  <si>
    <t>pcr_assay_lod_techreps</t>
  </si>
  <si>
    <t>pcr_assay_lod</t>
  </si>
  <si>
    <t>pcr_assay_lod_unit</t>
  </si>
  <si>
    <t>pcr_assay_lod_UL</t>
  </si>
  <si>
    <t>pcr_assay_lod_LL</t>
  </si>
  <si>
    <t>loq_method</t>
  </si>
  <si>
    <t>pcr_assay_loq_techreps</t>
  </si>
  <si>
    <t>pcr_assay_loq</t>
  </si>
  <si>
    <t>pcr_assay_loq_unit</t>
  </si>
  <si>
    <t>pcr_assay_loq_UL</t>
  </si>
  <si>
    <t>pcr_assay_loq_LL</t>
  </si>
  <si>
    <t>std_type</t>
  </si>
  <si>
    <t>std_source</t>
  </si>
  <si>
    <t>std_seq</t>
  </si>
  <si>
    <t>thresholdQuantificationCycle</t>
  </si>
  <si>
    <t>baselineValue</t>
  </si>
  <si>
    <t>automaticThresholdQuantificationCycle</t>
  </si>
  <si>
    <t>automaticBaselineValue</t>
  </si>
  <si>
    <t>targeted_detection_method_additional</t>
  </si>
  <si>
    <t>Library preparation sequencing</t>
  </si>
  <si>
    <t>barcoding_pcr_appr</t>
  </si>
  <si>
    <t>pcr2_thermocycler</t>
  </si>
  <si>
    <t>pcr2_amplificationReactionVolume</t>
  </si>
  <si>
    <t>pcr2_commercial_mm</t>
  </si>
  <si>
    <t>pcr2_custom_mm</t>
  </si>
  <si>
    <t>pcr2_dna_vol</t>
  </si>
  <si>
    <t>pcr2_cond</t>
  </si>
  <si>
    <t>pcr2_annealingTemp</t>
  </si>
  <si>
    <t>pcr2_cycles</t>
  </si>
  <si>
    <t>pcr2_analysis_software</t>
  </si>
  <si>
    <t>pcr2_plate_id</t>
  </si>
  <si>
    <t>pcr2_method_additional</t>
  </si>
  <si>
    <t>sequencing_location</t>
  </si>
  <si>
    <t>platform</t>
  </si>
  <si>
    <t>instrument</t>
  </si>
  <si>
    <t>seq_kit</t>
  </si>
  <si>
    <t>lib_layout</t>
  </si>
  <si>
    <t>adapter_forward</t>
  </si>
  <si>
    <t>adapter_reverse</t>
  </si>
  <si>
    <t>lib_screen</t>
  </si>
  <si>
    <t>checksum_method</t>
  </si>
  <si>
    <t>seq_method_additional</t>
  </si>
  <si>
    <t>Bioinformatics</t>
  </si>
  <si>
    <t>sop_bioinformatics</t>
  </si>
  <si>
    <t>trim_method</t>
  </si>
  <si>
    <t>trim_param</t>
  </si>
  <si>
    <t>demux_tool</t>
  </si>
  <si>
    <t>demux_max_mismatch</t>
  </si>
  <si>
    <t>merge_tool</t>
  </si>
  <si>
    <t>merge_min_overlap</t>
  </si>
  <si>
    <t>min_len_cutoff</t>
  </si>
  <si>
    <t>min_len_tool</t>
  </si>
  <si>
    <t>error_rate_tool</t>
  </si>
  <si>
    <t>error_rate_type</t>
  </si>
  <si>
    <t>error_rate_cutoff</t>
  </si>
  <si>
    <t>chimera_check_method</t>
  </si>
  <si>
    <t>chimera_check_param</t>
  </si>
  <si>
    <t>otu_clust_tool</t>
  </si>
  <si>
    <t>otu_clust_cutoff</t>
  </si>
  <si>
    <t>min_reads_cutoff</t>
  </si>
  <si>
    <t>min_reads_cutoff_unit</t>
  </si>
  <si>
    <t>min_reads_tool</t>
  </si>
  <si>
    <t>otu_db</t>
  </si>
  <si>
    <t>otu_db_custom</t>
  </si>
  <si>
    <t>tax_assign_cat</t>
  </si>
  <si>
    <t>otu_seq_comp_appr</t>
  </si>
  <si>
    <t>tax_class_id_cutoff</t>
  </si>
  <si>
    <t>tax_class_query_cutoff</t>
  </si>
  <si>
    <t>tax_class_collapse</t>
  </si>
  <si>
    <t>tax_class_other</t>
  </si>
  <si>
    <t>screen_contam_method</t>
  </si>
  <si>
    <t>screen_geograph_method</t>
  </si>
  <si>
    <t>screen_nontarget_method</t>
  </si>
  <si>
    <t>screen_other</t>
  </si>
  <si>
    <t>otu_raw_description</t>
  </si>
  <si>
    <t>otu_final_description</t>
  </si>
  <si>
    <t>bioinfo_method_additional</t>
  </si>
  <si>
    <t>term_type</t>
  </si>
  <si>
    <t>vocab_options</t>
  </si>
  <si>
    <t>n_options</t>
  </si>
  <si>
    <t>vocab1</t>
  </si>
  <si>
    <t>vocab2</t>
  </si>
  <si>
    <t>vocab3</t>
  </si>
  <si>
    <t>vocab4</t>
  </si>
  <si>
    <t>vocab5</t>
  </si>
  <si>
    <t>vocab6</t>
  </si>
  <si>
    <t>vocab7</t>
  </si>
  <si>
    <t>vocab8</t>
  </si>
  <si>
    <t>vocab9</t>
  </si>
  <si>
    <t>vocab10</t>
  </si>
  <si>
    <t>vocab11</t>
  </si>
  <si>
    <t>vocab12</t>
  </si>
  <si>
    <t>vocab13</t>
  </si>
  <si>
    <t>vocab14</t>
  </si>
  <si>
    <t>vocab15</t>
  </si>
  <si>
    <t>vocab16</t>
  </si>
  <si>
    <t>vocab17</t>
  </si>
  <si>
    <t>vocab18</t>
  </si>
  <si>
    <t>vocab19</t>
  </si>
  <si>
    <t>vocab20</t>
  </si>
  <si>
    <t>vocab21</t>
  </si>
  <si>
    <t>vocab22</t>
  </si>
  <si>
    <t>vocab23</t>
  </si>
  <si>
    <t>vocab24</t>
  </si>
  <si>
    <t>vocab25</t>
  </si>
  <si>
    <t>vocab26</t>
  </si>
  <si>
    <t>vocab27</t>
  </si>
  <si>
    <t>vocab28</t>
  </si>
  <si>
    <t>vocab29</t>
  </si>
  <si>
    <t>controlled vocabulary</t>
  </si>
  <si>
    <t>targeted | metabarcoding | other:</t>
  </si>
  <si>
    <t>targeted</t>
  </si>
  <si>
    <t>metabarcoding</t>
  </si>
  <si>
    <t>other:</t>
  </si>
  <si>
    <t>Boolean</t>
  </si>
  <si>
    <t>0 | 1</t>
  </si>
  <si>
    <t>0</t>
  </si>
  <si>
    <t>1</t>
  </si>
  <si>
    <t>samp_category</t>
  </si>
  <si>
    <t>sample | negative control | positive control | PCR standard | other:</t>
  </si>
  <si>
    <t>sample</t>
  </si>
  <si>
    <t>negative control</t>
  </si>
  <si>
    <t>positive control</t>
  </si>
  <si>
    <t>PCR standard</t>
  </si>
  <si>
    <t>neg_cont_type</t>
  </si>
  <si>
    <t>site negative | field negative | process negative | extraction negative | PCR negative | other:</t>
  </si>
  <si>
    <t>site negative</t>
  </si>
  <si>
    <t>field negative</t>
  </si>
  <si>
    <t>process negative</t>
  </si>
  <si>
    <t>extraction negative</t>
  </si>
  <si>
    <t>PCR negative</t>
  </si>
  <si>
    <t>verbatimCoordinateSystem</t>
  </si>
  <si>
    <t>decimal degrees | degrees minutes seconds | UTM | other:</t>
  </si>
  <si>
    <t>decimal degrees</t>
  </si>
  <si>
    <t>degrees minutes seconds</t>
  </si>
  <si>
    <t>UTM</t>
  </si>
  <si>
    <t>verbatimSRS</t>
  </si>
  <si>
    <t>WGS84 | NAD84 | NAD27 | GDA94 | GDA2020 | ETRS89 | JGD2000 | other:</t>
  </si>
  <si>
    <t>WGS84</t>
  </si>
  <si>
    <t>NAD84</t>
  </si>
  <si>
    <t>NAD27</t>
  </si>
  <si>
    <t>GDA94</t>
  </si>
  <si>
    <t>GDA2020</t>
  </si>
  <si>
    <t>ETRS89</t>
  </si>
  <si>
    <t>JGD2000</t>
  </si>
  <si>
    <t>habitat_natural_artificial_0_1</t>
  </si>
  <si>
    <t>samp_size_unit</t>
  </si>
  <si>
    <t>mL | L | mg | g | kg | cm2 | m2 | cm3 | m3 | other:</t>
  </si>
  <si>
    <t>mL</t>
  </si>
  <si>
    <t>L</t>
  </si>
  <si>
    <t>mg</t>
  </si>
  <si>
    <t>g</t>
  </si>
  <si>
    <t>kg</t>
  </si>
  <si>
    <t>cm2</t>
  </si>
  <si>
    <t>m2</t>
  </si>
  <si>
    <t>cm3</t>
  </si>
  <si>
    <t>m3</t>
  </si>
  <si>
    <t>samp_store_sol</t>
  </si>
  <si>
    <t>ethanol | sodium acetate | longmire | lysis buffer | none | other:</t>
  </si>
  <si>
    <t>ethanol</t>
  </si>
  <si>
    <t>sodium acetate</t>
  </si>
  <si>
    <t>longmire</t>
  </si>
  <si>
    <t>lysis buffer</t>
  </si>
  <si>
    <t>none</t>
  </si>
  <si>
    <t>filter_passive_active_0_1</t>
  </si>
  <si>
    <t>pump_flow_rate_unit</t>
  </si>
  <si>
    <t>m3/s | m3/min | m3/h | L/s | L/min | L/h | other:</t>
  </si>
  <si>
    <t>m3/s</t>
  </si>
  <si>
    <t>m3/min</t>
  </si>
  <si>
    <t>m3/h</t>
  </si>
  <si>
    <t>L/s</t>
  </si>
  <si>
    <t>L/min</t>
  </si>
  <si>
    <t>L/h</t>
  </si>
  <si>
    <t>filter_material</t>
  </si>
  <si>
    <t>cellulose | cellulose ester | glass fiber | thermoplastic membrane | track etched polycarbonate | nylon | polyethersulfone| other:</t>
  </si>
  <si>
    <t>cellulose</t>
  </si>
  <si>
    <t>cellulose ester</t>
  </si>
  <si>
    <t>glass fiber</t>
  </si>
  <si>
    <t>thermoplastic membrane</t>
  </si>
  <si>
    <t>track etched polycarbonate</t>
  </si>
  <si>
    <t>nylon</t>
  </si>
  <si>
    <t>polyethersulfone</t>
  </si>
  <si>
    <t>precip_chem_prep</t>
  </si>
  <si>
    <t>ethanol | isopropanol | sodium chloride | other:</t>
  </si>
  <si>
    <t>isopropanol</t>
  </si>
  <si>
    <t>sodium chloride</t>
  </si>
  <si>
    <t>prepped_samp_store_sol</t>
  </si>
  <si>
    <t>samp_vol_we_dna_ext_unit</t>
  </si>
  <si>
    <t>nucl_acid_ext_lysis</t>
  </si>
  <si>
    <t>physical | chemical | enzymatic | thermal | osmotic | other:</t>
  </si>
  <si>
    <t>physical</t>
  </si>
  <si>
    <t>chemical</t>
  </si>
  <si>
    <t>enzymatic</t>
  </si>
  <si>
    <t>thermal</t>
  </si>
  <si>
    <t>osmotic</t>
  </si>
  <si>
    <t>nucl_acid_ext_sep</t>
  </si>
  <si>
    <t>column-based | magnetic beads | centrifugation | precipitation | phenol chloroform | gel electrophoresis | other:</t>
  </si>
  <si>
    <t>column-based</t>
  </si>
  <si>
    <t>magnetic beads</t>
  </si>
  <si>
    <t>centrifugation</t>
  </si>
  <si>
    <t>precipitation</t>
  </si>
  <si>
    <t>phenol chloroform</t>
  </si>
  <si>
    <t>gel electrophoresis</t>
  </si>
  <si>
    <t>dna_cleanup_0_1</t>
  </si>
  <si>
    <t>concentration_unit</t>
  </si>
  <si>
    <t>ng/µl | copies/µl | other:</t>
  </si>
  <si>
    <t>ng/µl</t>
  </si>
  <si>
    <t>copies/µl</t>
  </si>
  <si>
    <t>12S rRNA (SSU mitochondria) | 16S rRNA (LSU mitochondria) | 16S rRNA (SSU prokaryote) | 23S rRNA (LSU prokaryote) | 18S rRNA (SSU eukaryote) | 28S rRNA (LSU eukaryote) | rbcL | CytB | COI | COII | COIII | nifH | ITS | ND1 | ND2 | ND3 | ND4 | ND5 | ND6 | amoA | rpoB | rpoC1 | rpoC2 | matK | trnH | trnL | psbK | D-loop | other:</t>
  </si>
  <si>
    <t>12S rRNA (SSU mitochondria)</t>
  </si>
  <si>
    <t>16S rRNA (LSU mitochondria)</t>
  </si>
  <si>
    <t>16S rRNA (SSU prokaryote)</t>
  </si>
  <si>
    <t>23S rRNA (LSU prokaryote)</t>
  </si>
  <si>
    <t>18S rRNA (SSU eukaryote)</t>
  </si>
  <si>
    <t>28S rRNA (LSU eukaryote)</t>
  </si>
  <si>
    <t>rbcL</t>
  </si>
  <si>
    <t>CytB</t>
  </si>
  <si>
    <t>COI</t>
  </si>
  <si>
    <t>COII</t>
  </si>
  <si>
    <t>COIII</t>
  </si>
  <si>
    <t>nifH</t>
  </si>
  <si>
    <t>ITS</t>
  </si>
  <si>
    <t>ND1</t>
  </si>
  <si>
    <t>ND2</t>
  </si>
  <si>
    <t>ND3</t>
  </si>
  <si>
    <t>ND4</t>
  </si>
  <si>
    <t>ND5</t>
  </si>
  <si>
    <t>ND6</t>
  </si>
  <si>
    <t>amoA</t>
  </si>
  <si>
    <t>rpoB</t>
  </si>
  <si>
    <t>rpoC1</t>
  </si>
  <si>
    <t>rpoC2</t>
  </si>
  <si>
    <t>matK</t>
  </si>
  <si>
    <t>trnH</t>
  </si>
  <si>
    <t>trnL</t>
  </si>
  <si>
    <t>psbK</t>
  </si>
  <si>
    <t>D-loop</t>
  </si>
  <si>
    <t>Zero-End Quencher (ZEN) | TAMRA | lowa Black | Minor Groove Binder (MGB) | Black Hole Quencher (BHQ) | other:</t>
  </si>
  <si>
    <t>Zero-End Quencher (ZEN)</t>
  </si>
  <si>
    <t>TAMRA</t>
  </si>
  <si>
    <t>lowa Black</t>
  </si>
  <si>
    <t>Minor Groove Binder (MGB)</t>
  </si>
  <si>
    <t>Black Hole Quencher (BHQ)</t>
  </si>
  <si>
    <t>qPCR | dPCR | gel electrophoresis | CE-PCR | LAMP | other:</t>
  </si>
  <si>
    <t>qPCR</t>
  </si>
  <si>
    <t>dPCR</t>
  </si>
  <si>
    <t>CE-PCR</t>
  </si>
  <si>
    <t>LAMP</t>
  </si>
  <si>
    <t>copies/reaction | copies/µL | ng/reaction | ng/µL | other:</t>
  </si>
  <si>
    <t>copies/reaction</t>
  </si>
  <si>
    <t>copies/µL</t>
  </si>
  <si>
    <t>ng/reaction</t>
  </si>
  <si>
    <t>ng/µL</t>
  </si>
  <si>
    <t>synthetic double-stranded DNA | plasmid | amplicon | gDNA | other:</t>
  </si>
  <si>
    <t>synthetic double-stranded DNA</t>
  </si>
  <si>
    <t>plasmid</t>
  </si>
  <si>
    <t>amplicon</t>
  </si>
  <si>
    <t>gDNA</t>
  </si>
  <si>
    <t>std_conc_unit</t>
  </si>
  <si>
    <t>copies/reaction | copies/µL of DNA extract | copies/µL of reaction | ng/reaction | ng/µL of DNA extract | ng/µL of reaction | other:</t>
  </si>
  <si>
    <t>copies/µL of DNA extract</t>
  </si>
  <si>
    <t>copies/µL of reaction</t>
  </si>
  <si>
    <t>ng/µL of DNA extract</t>
  </si>
  <si>
    <t>ng/µL of reaction</t>
  </si>
  <si>
    <t>estimatedNumberOfCopies_method</t>
  </si>
  <si>
    <t>Ct/Cq with standard curve | Ct/Cq with standard bionomial data | direct output from the PCR instrument used | gel fluorescence intensities | other:</t>
  </si>
  <si>
    <t>Ct/Cq with standard curve</t>
  </si>
  <si>
    <t>Ct/Cq with standard bionomial data</t>
  </si>
  <si>
    <t>direct output from the PCR instrument used</t>
  </si>
  <si>
    <t>gel fluorescence intensities</t>
  </si>
  <si>
    <t>estimatedNumberOfCopies_unit</t>
  </si>
  <si>
    <t>estimatedNumberOfCopies_error_type</t>
  </si>
  <si>
    <t>standard error | standard deviation | 95% confidence interval | other:</t>
  </si>
  <si>
    <t>standard error</t>
  </si>
  <si>
    <t>standard deviation</t>
  </si>
  <si>
    <t>95% confidence interval</t>
  </si>
  <si>
    <t>detected_notDetected</t>
  </si>
  <si>
    <t>one-step PCR | two-step PCR | ligation-based | other:</t>
  </si>
  <si>
    <t>one-step PCR</t>
  </si>
  <si>
    <t>two-step PCR</t>
  </si>
  <si>
    <t>ligation-based</t>
  </si>
  <si>
    <t>ILLUMINA | BGISEQ | CAPILLARY | DNBSEQ | ELEMENT | GENAPSYS | GENEMIND | HELICOS | ION_TORRENT | LS454 | OXFORD_NANOPORE | PACBIO_SMRT | TAPESTRI | VELA_DIAGNOSTICS | ULTIMA | other:</t>
  </si>
  <si>
    <t>ILLUMINA</t>
  </si>
  <si>
    <t>BGISEQ</t>
  </si>
  <si>
    <t>CAPILLARY</t>
  </si>
  <si>
    <t>DNBSEQ</t>
  </si>
  <si>
    <t>ELEMENT</t>
  </si>
  <si>
    <t>GENAPSYS</t>
  </si>
  <si>
    <t>GENEMIND</t>
  </si>
  <si>
    <t>HELICOS</t>
  </si>
  <si>
    <t>ION_TORRENT</t>
  </si>
  <si>
    <t>LS454</t>
  </si>
  <si>
    <t>OXFORD_NANOPORE</t>
  </si>
  <si>
    <t>PACBIO_SMRT</t>
  </si>
  <si>
    <t>TAPESTRI</t>
  </si>
  <si>
    <t>VELA_DIAGNOSTICS</t>
  </si>
  <si>
    <t>ULTIMA</t>
  </si>
  <si>
    <t>paired end | single end | other:</t>
  </si>
  <si>
    <t>paired end</t>
  </si>
  <si>
    <t>single end</t>
  </si>
  <si>
    <t>lib_conc_unit</t>
  </si>
  <si>
    <t>ng/µL | nM | pM | other:</t>
  </si>
  <si>
    <t>nM</t>
  </si>
  <si>
    <t>pM</t>
  </si>
  <si>
    <t>MD5 | SHA-256 | CRC-32 | other:</t>
  </si>
  <si>
    <t>MD5</t>
  </si>
  <si>
    <t>SHA-256</t>
  </si>
  <si>
    <t>CRC-32</t>
  </si>
  <si>
    <t>Phred score | expected error rate | other:</t>
  </si>
  <si>
    <t>Phred score</t>
  </si>
  <si>
    <t>expected error rate</t>
  </si>
  <si>
    <t>reads | % | other:</t>
  </si>
  <si>
    <t>reads</t>
  </si>
  <si>
    <t>%</t>
  </si>
  <si>
    <t>sequence similarity | sequence composition | phylogeny | probabilistic | other:</t>
  </si>
  <si>
    <t>sequence similarity</t>
  </si>
  <si>
    <t>sequence composition</t>
  </si>
  <si>
    <t>phylogeny</t>
  </si>
  <si>
    <t>probabilistic</t>
  </si>
  <si>
    <t>taxonRank</t>
  </si>
  <si>
    <t>kingdom | phylum | class | order | family | genus | species | other:</t>
  </si>
  <si>
    <t>kingdom</t>
  </si>
  <si>
    <t>phylum</t>
  </si>
  <si>
    <t>class</t>
  </si>
  <si>
    <t>order</t>
  </si>
  <si>
    <t>family</t>
  </si>
  <si>
    <t>genus</t>
  </si>
  <si>
    <t>species</t>
  </si>
  <si>
    <t>host_tot_mass_unit</t>
  </si>
  <si>
    <t>mg | g | kg | other:</t>
  </si>
  <si>
    <t>host_height_unit</t>
  </si>
  <si>
    <t>mm | cm | m | other:</t>
  </si>
  <si>
    <t>mm</t>
  </si>
  <si>
    <t>cm</t>
  </si>
  <si>
    <t>m</t>
  </si>
  <si>
    <t>host_length_unit</t>
  </si>
  <si>
    <t>diss_inorg_carb_unit</t>
  </si>
  <si>
    <t>µM | mol/m3 | mmol/m3 | µmol/m3 | mol/L | mmol/L | µmol/L | mg/L | µg/L |  µmol/kg | mmol/kg | parts per million | other:</t>
  </si>
  <si>
    <t>µM</t>
  </si>
  <si>
    <t>mol/m3</t>
  </si>
  <si>
    <t>mmol/m3</t>
  </si>
  <si>
    <t>µmol/m3</t>
  </si>
  <si>
    <t>mol/L</t>
  </si>
  <si>
    <t>mmol/L</t>
  </si>
  <si>
    <t>µmol/L</t>
  </si>
  <si>
    <t>mg/L</t>
  </si>
  <si>
    <t>µg/L</t>
  </si>
  <si>
    <t>µmol/kg</t>
  </si>
  <si>
    <t>mmol/kg</t>
  </si>
  <si>
    <t>parts per million</t>
  </si>
  <si>
    <t>diss_inorg_nitro_unit</t>
  </si>
  <si>
    <t>diss_org_carb_unit</t>
  </si>
  <si>
    <t>diss_org_nitro_unit</t>
  </si>
  <si>
    <t>diss_oxygen_unit</t>
  </si>
  <si>
    <t>mg/L | µg/L | µM | mol/m3 | mmol/m3 | µmol/m3 | mol/L | mmol/L | µmol/L | mg/L | µg/L | mL/L | mmol/kg | parts per million | other:</t>
  </si>
  <si>
    <t>mL/L</t>
  </si>
  <si>
    <t>tot_diss_nitro_unit</t>
  </si>
  <si>
    <t>tot_inorg_nitro_unit</t>
  </si>
  <si>
    <t>tot_nitro_unit</t>
  </si>
  <si>
    <t>tot_part_carb_unit</t>
  </si>
  <si>
    <t>tot_org_carb_unit</t>
  </si>
  <si>
    <t>tot_nitro_content_unit</t>
  </si>
  <si>
    <t>tot_carb_unit</t>
  </si>
  <si>
    <t>part_org_carb_unit</t>
  </si>
  <si>
    <t>part_org_nitro_unit</t>
  </si>
  <si>
    <t>nitrate_unit</t>
  </si>
  <si>
    <t>nitrite_unit</t>
  </si>
  <si>
    <t>nitro_unit</t>
  </si>
  <si>
    <t>org_carb_unit</t>
  </si>
  <si>
    <t>org_matter_unit</t>
  </si>
  <si>
    <t>org_nitro_unit</t>
  </si>
  <si>
    <t># requirement_level_code</t>
  </si>
  <si>
    <t># section</t>
  </si>
  <si>
    <t>Sample information</t>
  </si>
  <si>
    <t>Sample relations</t>
  </si>
  <si>
    <t>Sample storage</t>
  </si>
  <si>
    <t>Sample preparation</t>
  </si>
  <si>
    <t>Nucleic acid extraction</t>
  </si>
  <si>
    <t>Environment</t>
  </si>
  <si>
    <t>samp_name</t>
  </si>
  <si>
    <t>pos_cont_type</t>
  </si>
  <si>
    <t>materialSampleID</t>
  </si>
  <si>
    <t>sample_derived_from</t>
  </si>
  <si>
    <t>sample_composed_of</t>
  </si>
  <si>
    <t>rel_cont_id</t>
  </si>
  <si>
    <t>biological_rep_relation</t>
  </si>
  <si>
    <t>decimalLongitude</t>
  </si>
  <si>
    <t>decimalLatitude</t>
  </si>
  <si>
    <t>verbatimLongitude</t>
  </si>
  <si>
    <t>verbatimLatitude</t>
  </si>
  <si>
    <t>geo_loc_name</t>
  </si>
  <si>
    <t>eventDate</t>
  </si>
  <si>
    <t>eventDurationValue</t>
  </si>
  <si>
    <t>verbatimEventDate</t>
  </si>
  <si>
    <t>verbatimEventTime</t>
  </si>
  <si>
    <t>env_broad_scale</t>
  </si>
  <si>
    <t>env_local_scale</t>
  </si>
  <si>
    <t>env_medium</t>
  </si>
  <si>
    <t>samp_collect_method</t>
  </si>
  <si>
    <t>samp_collect_device</t>
  </si>
  <si>
    <t>samp_size</t>
  </si>
  <si>
    <t>samp_store_temp</t>
  </si>
  <si>
    <t>samp_store_dur</t>
  </si>
  <si>
    <t>samp_store_loc</t>
  </si>
  <si>
    <t>dna_store_loc</t>
  </si>
  <si>
    <t>samp_store_method_additional</t>
  </si>
  <si>
    <t>samp_mat_process</t>
  </si>
  <si>
    <t>stationed_sample_dur</t>
  </si>
  <si>
    <t>pump_flow_rate</t>
  </si>
  <si>
    <t>prefilter_material</t>
  </si>
  <si>
    <t>size_frac_low</t>
  </si>
  <si>
    <t>size_frac</t>
  </si>
  <si>
    <t>filter_diameter</t>
  </si>
  <si>
    <t>filter_surface_area</t>
  </si>
  <si>
    <t>filter_name</t>
  </si>
  <si>
    <t>precip_force_prep</t>
  </si>
  <si>
    <t>precip_time_prep</t>
  </si>
  <si>
    <t>precip_temp_prep</t>
  </si>
  <si>
    <t>prepped_samp_store_temp</t>
  </si>
  <si>
    <t>prepped_samp_store_dur</t>
  </si>
  <si>
    <t>prep_method_additional</t>
  </si>
  <si>
    <t>date_ext</t>
  </si>
  <si>
    <t>samp_vol_we_dna_ext</t>
  </si>
  <si>
    <t>nucl_acid_ext</t>
  </si>
  <si>
    <t>nucl_acid_ext_kit</t>
  </si>
  <si>
    <t>nucl_acid_ext_modify</t>
  </si>
  <si>
    <t>dna_cleanup_method</t>
  </si>
  <si>
    <t>concentration</t>
  </si>
  <si>
    <t>concentration_method</t>
  </si>
  <si>
    <t>ratioOfAbsorbance260_280</t>
  </si>
  <si>
    <t>pool_dna_num</t>
  </si>
  <si>
    <t>nucl_acid_ext_method_additional</t>
  </si>
  <si>
    <t>samp_weather</t>
  </si>
  <si>
    <t>minimumDepthInMeters</t>
  </si>
  <si>
    <t>maximumDepthInMeters</t>
  </si>
  <si>
    <t>tot_depth_water_col</t>
  </si>
  <si>
    <t>elev</t>
  </si>
  <si>
    <t>alt</t>
  </si>
  <si>
    <t>temp</t>
  </si>
  <si>
    <t>chlorophyll</t>
  </si>
  <si>
    <t>light_intensity</t>
  </si>
  <si>
    <t>ph</t>
  </si>
  <si>
    <t>ph_meth</t>
  </si>
  <si>
    <t>salinity</t>
  </si>
  <si>
    <t>suspend_part_matter</t>
  </si>
  <si>
    <t>tidal_stage</t>
  </si>
  <si>
    <t>turbidity</t>
  </si>
  <si>
    <t>water_current</t>
  </si>
  <si>
    <t>humidity</t>
  </si>
  <si>
    <t>solar_irradiance</t>
  </si>
  <si>
    <t>wind_direction</t>
  </si>
  <si>
    <t>wind_speed</t>
  </si>
  <si>
    <t>host_species</t>
  </si>
  <si>
    <t>host_life_stage</t>
  </si>
  <si>
    <t>host_tot_mass</t>
  </si>
  <si>
    <t>host_height</t>
  </si>
  <si>
    <t>host_length</t>
  </si>
  <si>
    <t>diss_inorg_carb</t>
  </si>
  <si>
    <t>diss_inorg_nitro</t>
  </si>
  <si>
    <t>diss_org_carb</t>
  </si>
  <si>
    <t>diss_org_nitro</t>
  </si>
  <si>
    <t>diss_oxygen</t>
  </si>
  <si>
    <t>tot_diss_nitro</t>
  </si>
  <si>
    <t>tot_inorg_nitro</t>
  </si>
  <si>
    <t>tot_nitro</t>
  </si>
  <si>
    <t>tot_part_carb</t>
  </si>
  <si>
    <t>tot_org_carb</t>
  </si>
  <si>
    <t>tot_org_c_meth</t>
  </si>
  <si>
    <t>tot_nitro_content</t>
  </si>
  <si>
    <t>tot_nitro_cont_meth</t>
  </si>
  <si>
    <t>tot_carb</t>
  </si>
  <si>
    <t>part_org_carb</t>
  </si>
  <si>
    <t>part_org_nitro</t>
  </si>
  <si>
    <t>nitrate</t>
  </si>
  <si>
    <t>nitrite</t>
  </si>
  <si>
    <t>nitro</t>
  </si>
  <si>
    <t>org_carb</t>
  </si>
  <si>
    <t>org_matter</t>
  </si>
  <si>
    <t>org_nitro</t>
  </si>
  <si>
    <t>technical_rep_id</t>
  </si>
  <si>
    <t>pcr_plate_id</t>
  </si>
  <si>
    <t>quantificationCycle</t>
  </si>
  <si>
    <t>rfu</t>
  </si>
  <si>
    <t>estimatedNumberOfCopies</t>
  </si>
  <si>
    <t>estimatedNumberOfCopies_error</t>
  </si>
  <si>
    <t>std_conc</t>
  </si>
  <si>
    <t>efficiency</t>
  </si>
  <si>
    <t>r2</t>
  </si>
  <si>
    <t>slope</t>
  </si>
  <si>
    <t>intercept</t>
  </si>
  <si>
    <t>num_detect</t>
  </si>
  <si>
    <t>lib_id</t>
  </si>
  <si>
    <t>seq_run_id</t>
  </si>
  <si>
    <t>lib_conc</t>
  </si>
  <si>
    <t>lib_conc_meth</t>
  </si>
  <si>
    <t>phix_perc</t>
  </si>
  <si>
    <t>mid_forward</t>
  </si>
  <si>
    <t>mid_reverse</t>
  </si>
  <si>
    <t>filename</t>
  </si>
  <si>
    <t>filename2</t>
  </si>
  <si>
    <t>checksum_filename</t>
  </si>
  <si>
    <t>checksum_filename2</t>
  </si>
  <si>
    <t>associatedSequences</t>
  </si>
  <si>
    <t>input_read_count</t>
  </si>
  <si>
    <t>output_read_count</t>
  </si>
  <si>
    <t>output_otu_num</t>
  </si>
  <si>
    <t>otu_num_tax_assigned</t>
  </si>
  <si>
    <t>OTU/ASV</t>
  </si>
  <si>
    <t>seq_id</t>
  </si>
  <si>
    <t>dna_sequence</t>
  </si>
  <si>
    <t>specificEpithet</t>
  </si>
  <si>
    <t>scientificName</t>
  </si>
  <si>
    <t>scientificNameAuthorship</t>
  </si>
  <si>
    <t>taxonID</t>
  </si>
  <si>
    <t>taxonID_db</t>
  </si>
  <si>
    <t>verbatimIdentification</t>
  </si>
  <si>
    <t>accession_id</t>
  </si>
  <si>
    <t>accession_id_ref_db</t>
  </si>
  <si>
    <t>percent_match</t>
  </si>
  <si>
    <t>percent_query_cover</t>
  </si>
  <si>
    <t>confidence_score</t>
  </si>
  <si>
    <t>identificationRemarks</t>
  </si>
  <si>
    <t>C Cowgill</t>
  </si>
  <si>
    <t>c.cowgill@ucl.ac.uk</t>
  </si>
  <si>
    <t>University of Hull</t>
  </si>
  <si>
    <t>https://www.hull.ac.uk/</t>
  </si>
  <si>
    <t>Dundreggan functional diversity chronosequence</t>
  </si>
  <si>
    <t>CCowgill_PhD</t>
  </si>
  <si>
    <t>1.0.2</t>
  </si>
  <si>
    <t>CC-BY 4.0</t>
  </si>
  <si>
    <t>https://github.com/clarecowgill/Functional-diversity-multi-trophic-networks-Dundreggan-Rewilding-Estate/tree/main</t>
  </si>
  <si>
    <t>All samples visually checked for inhibition with gel electrophoresis. Where inhibition was suspected, PCR was repeated with samples diluted with a 1:10 dilution.</t>
  </si>
  <si>
    <t>Applied BiosystemsTM VeritiTM Thermal Cycler (Fisher Scientific, UK)</t>
  </si>
  <si>
    <t>12S-V5</t>
  </si>
  <si>
    <t>In-silico validation via a curated UK vertebrate 12S reference database and stringent BLAST assignment. In-situ validation using negative controls and species-specific LOD thresholds (mean + 3 SD), with additional filtering of low-abundance reads and removal of non-target/contaminant taxa.</t>
  </si>
  <si>
    <t>vertebrates</t>
  </si>
  <si>
    <t>V5</t>
  </si>
  <si>
    <t>ACTGGGATTAGATACCCC</t>
  </si>
  <si>
    <t>TAGAACAGGCTCCTCTAG</t>
  </si>
  <si>
    <t>12S-V5-F</t>
  </si>
  <si>
    <t>12S-V5-R</t>
  </si>
  <si>
    <t>10.1093/nar/gkr732</t>
  </si>
  <si>
    <t>Q5 High-Fidelity DNA polymerase (New England Biolabs)</t>
  </si>
  <si>
    <t>https://www.protocols.io/view/multi-tool-monitoring-edna-sample-collection-and-p-eq2lyqm8mvx9/v1?step=22</t>
  </si>
  <si>
    <t>initial denaturation:98_5;annealing:58_0.33;elongation:72_0.5;final elongation:72_7;35</t>
  </si>
  <si>
    <t>initial denaturation:95_3;annealing:72_1;elongation:72_1;final elongation:72_5;10</t>
  </si>
  <si>
    <t>Library-tagged PCR2</t>
  </si>
  <si>
    <t>Illumina MiSeq v3 300</t>
  </si>
  <si>
    <t>Illumina adapter added in PCR2 (see library preparation)</t>
  </si>
  <si>
    <t>Amplicons were purified using double-size magnetic bead clean-ups (Mag-BIND RznPure Plus; 0.9x/0.15x and 0.7x/0.15x). Sub-libraries were pooled based on gel band intensity. Libraries were quantified using Qubit and qPCR, pooled in equimolar concentrations, diluted to 4 nM.</t>
  </si>
  <si>
    <t>10% PhiX spike-in.</t>
  </si>
  <si>
    <t>https://github.com/EvoHull/Tapirs, https://www.protocols.io/view/multi-tool-monitoring-edna-sample-collection-and-p-eq2lyqm8mvx9/v1?step=24</t>
  </si>
  <si>
    <t>fastp</t>
  </si>
  <si>
    <t>5 bp sliding window; minimum Phred score Q30 across ≥60% of read; first 18 bp removed from forward and reverse reads; length filtering 90–110 bp</t>
  </si>
  <si>
    <t>TAPIRS</t>
  </si>
  <si>
    <t>de novo chimera detection using VSEARCH (--uchime3_denovo)</t>
  </si>
  <si>
    <t>default</t>
  </si>
  <si>
    <t>VSEARCH (--cluster_unoise)</t>
  </si>
  <si>
    <t>VSEARCH</t>
  </si>
  <si>
    <t>custom</t>
  </si>
  <si>
    <t>Majority Lowest Common Ancestor (MLCA)</t>
  </si>
  <si>
    <t>Top 2% of BLAST hits by bit-score retained; ≥80% consensus among unique taxonomic lineages required for assignment; single qualifying hit assigned directly; sequences not assigned below order classified as unassigned</t>
  </si>
  <si>
    <t>Species-specific limits of detection (LOD) calculated from negative controls (mean + 3 SD); reads below LOD set to zero; additional 0.1% relative abundance threshold applied per sample</t>
  </si>
  <si>
    <t>Not applied (database of plausible taxa used)</t>
  </si>
  <si>
    <t>Removed non-target and contaminant taxa (Homo sapiens, Bos taurus, Canis lupus, Castor fiber, and fish taxa)</t>
  </si>
  <si>
    <t>Final dataset includes taxonomically assigned clusters passing identity (≥98%), query coverage (≥90%), LCA consensus filtering, species-specific LOD thresholds, and 0.1% relative abundance filtering</t>
  </si>
  <si>
    <t>BLAST+</t>
  </si>
  <si>
    <t>NEG08</t>
  </si>
  <si>
    <t>NEG10</t>
  </si>
  <si>
    <t>POS08</t>
  </si>
  <si>
    <t>POS10</t>
  </si>
  <si>
    <t>PCR positive of extracted tissue DNA (Astatotilapia_calliptera)</t>
  </si>
  <si>
    <t>PT2M</t>
  </si>
  <si>
    <t>shrub layer [ENVO:01000336]</t>
  </si>
  <si>
    <t>https://mbmg.pensoft.net/article/24556/</t>
  </si>
  <si>
    <t>Mu DNA</t>
  </si>
  <si>
    <t>Moist, overcast</t>
  </si>
  <si>
    <t>Dry, cloudy</t>
  </si>
  <si>
    <t>Overcast</t>
  </si>
  <si>
    <t>Sunny</t>
  </si>
  <si>
    <t>Drizzle</t>
  </si>
  <si>
    <t>Hot, sunny</t>
  </si>
  <si>
    <t>https://orcid.org/0009-0005-1382-998X</t>
  </si>
  <si>
    <t>CROP_2024</t>
  </si>
  <si>
    <t>Species reintroduction | Integrating eDNA with cameras | eDNA detectability modelling</t>
  </si>
  <si>
    <t>Sampling bottles were soaked in 10% bleach, then 5% lipsol, then double rinsed with sterilised water. Sample bottles were only handled with single use nitrile gloves and stored in a sterilised coolbag (wiped down with 10% bleach) during fieldwork.</t>
  </si>
  <si>
    <t>https://github.com/clarecowgill/Beaver-Otter-Detectability-eDNA-and-cameras</t>
  </si>
  <si>
    <t>10 (monthly analysis), 13 (spatial analysis)</t>
  </si>
  <si>
    <t>NEG01</t>
  </si>
  <si>
    <t>NEG02</t>
  </si>
  <si>
    <t>NEG03</t>
  </si>
  <si>
    <t>NEG04</t>
  </si>
  <si>
    <t>NEG05</t>
  </si>
  <si>
    <t>NEG06</t>
  </si>
  <si>
    <t>NEG07</t>
  </si>
  <si>
    <t>POS01</t>
  </si>
  <si>
    <t>POS02</t>
  </si>
  <si>
    <t>POS03</t>
  </si>
  <si>
    <t>POS04</t>
  </si>
  <si>
    <t>POS05</t>
  </si>
  <si>
    <t>POS06</t>
  </si>
  <si>
    <t>POS07</t>
  </si>
  <si>
    <t>United Kingdom, Cropton</t>
  </si>
  <si>
    <t>0101</t>
  </si>
  <si>
    <t>0102</t>
  </si>
  <si>
    <t>0103</t>
  </si>
  <si>
    <t>0104</t>
  </si>
  <si>
    <t>0105</t>
  </si>
  <si>
    <t>0106</t>
  </si>
  <si>
    <t>0107</t>
  </si>
  <si>
    <t>0108</t>
  </si>
  <si>
    <t>0109</t>
  </si>
  <si>
    <t>0110</t>
  </si>
  <si>
    <t>01EB</t>
  </si>
  <si>
    <t>01FB</t>
  </si>
  <si>
    <t>0201</t>
  </si>
  <si>
    <t>0202</t>
  </si>
  <si>
    <t>0203</t>
  </si>
  <si>
    <t>0204</t>
  </si>
  <si>
    <t>0205</t>
  </si>
  <si>
    <t>0206</t>
  </si>
  <si>
    <t>0207</t>
  </si>
  <si>
    <t>0208</t>
  </si>
  <si>
    <t>0209</t>
  </si>
  <si>
    <t>0210</t>
  </si>
  <si>
    <t>0211</t>
  </si>
  <si>
    <t>0212</t>
  </si>
  <si>
    <t>0213</t>
  </si>
  <si>
    <t>0214</t>
  </si>
  <si>
    <t>02EB</t>
  </si>
  <si>
    <t>02FB</t>
  </si>
  <si>
    <t>0301</t>
  </si>
  <si>
    <t>0302</t>
  </si>
  <si>
    <t>0303</t>
  </si>
  <si>
    <t>0304</t>
  </si>
  <si>
    <t>0305</t>
  </si>
  <si>
    <t>0306</t>
  </si>
  <si>
    <t>0307</t>
  </si>
  <si>
    <t>0308</t>
  </si>
  <si>
    <t>0309</t>
  </si>
  <si>
    <t>0310</t>
  </si>
  <si>
    <t>03EB</t>
  </si>
  <si>
    <t>03FB</t>
  </si>
  <si>
    <t>0401</t>
  </si>
  <si>
    <t>0402</t>
  </si>
  <si>
    <t>0403</t>
  </si>
  <si>
    <t>0404</t>
  </si>
  <si>
    <t>0405</t>
  </si>
  <si>
    <t>0406</t>
  </si>
  <si>
    <t>0407</t>
  </si>
  <si>
    <t>0408</t>
  </si>
  <si>
    <t>0409</t>
  </si>
  <si>
    <t>0410</t>
  </si>
  <si>
    <t>04EB</t>
  </si>
  <si>
    <t>04FB</t>
  </si>
  <si>
    <t>0501</t>
  </si>
  <si>
    <t>0502</t>
  </si>
  <si>
    <t>0503</t>
  </si>
  <si>
    <t>0504</t>
  </si>
  <si>
    <t>0505</t>
  </si>
  <si>
    <t>0506</t>
  </si>
  <si>
    <t>0507</t>
  </si>
  <si>
    <t>0508</t>
  </si>
  <si>
    <t>0509</t>
  </si>
  <si>
    <t>0510</t>
  </si>
  <si>
    <t>0511</t>
  </si>
  <si>
    <t>0512</t>
  </si>
  <si>
    <t>0514</t>
  </si>
  <si>
    <t>05EB</t>
  </si>
  <si>
    <t>05FB</t>
  </si>
  <si>
    <t>0601</t>
  </si>
  <si>
    <t>0602</t>
  </si>
  <si>
    <t>0603</t>
  </si>
  <si>
    <t>0604</t>
  </si>
  <si>
    <t>0605</t>
  </si>
  <si>
    <t>0606</t>
  </si>
  <si>
    <t>0607</t>
  </si>
  <si>
    <t>0608</t>
  </si>
  <si>
    <t>0609</t>
  </si>
  <si>
    <t>0610</t>
  </si>
  <si>
    <t>06EB</t>
  </si>
  <si>
    <t>06FB</t>
  </si>
  <si>
    <t>0701</t>
  </si>
  <si>
    <t>0702</t>
  </si>
  <si>
    <t>0703</t>
  </si>
  <si>
    <t>0704</t>
  </si>
  <si>
    <t>0705</t>
  </si>
  <si>
    <t>0706</t>
  </si>
  <si>
    <t>0707</t>
  </si>
  <si>
    <t>0708</t>
  </si>
  <si>
    <t>0709</t>
  </si>
  <si>
    <t>0710</t>
  </si>
  <si>
    <t>07EB</t>
  </si>
  <si>
    <t>07FB</t>
  </si>
  <si>
    <t>0801</t>
  </si>
  <si>
    <t>0802</t>
  </si>
  <si>
    <t>0803</t>
  </si>
  <si>
    <t>0804</t>
  </si>
  <si>
    <t>0805</t>
  </si>
  <si>
    <t>0806</t>
  </si>
  <si>
    <t>0807</t>
  </si>
  <si>
    <t>0808</t>
  </si>
  <si>
    <t>0809</t>
  </si>
  <si>
    <t>0810</t>
  </si>
  <si>
    <t>0811</t>
  </si>
  <si>
    <t>0812</t>
  </si>
  <si>
    <t>0813</t>
  </si>
  <si>
    <t>0814</t>
  </si>
  <si>
    <t>08EB</t>
  </si>
  <si>
    <t>08FB</t>
  </si>
  <si>
    <t>0901</t>
  </si>
  <si>
    <t>0902</t>
  </si>
  <si>
    <t>0903</t>
  </si>
  <si>
    <t>0904</t>
  </si>
  <si>
    <t>0905</t>
  </si>
  <si>
    <t>0906</t>
  </si>
  <si>
    <t>0907</t>
  </si>
  <si>
    <t>0908</t>
  </si>
  <si>
    <t>0909</t>
  </si>
  <si>
    <t>0910</t>
  </si>
  <si>
    <t>09EB</t>
  </si>
  <si>
    <t>09FB</t>
  </si>
  <si>
    <t>1001</t>
  </si>
  <si>
    <t>1002</t>
  </si>
  <si>
    <t>1003</t>
  </si>
  <si>
    <t>1004</t>
  </si>
  <si>
    <t>1005</t>
  </si>
  <si>
    <t>1006</t>
  </si>
  <si>
    <t>1007</t>
  </si>
  <si>
    <t>1008</t>
  </si>
  <si>
    <t>1009</t>
  </si>
  <si>
    <t>1010</t>
  </si>
  <si>
    <t>10EB</t>
  </si>
  <si>
    <t>10FB</t>
  </si>
  <si>
    <t>1101</t>
  </si>
  <si>
    <t>1102</t>
  </si>
  <si>
    <t>1103</t>
  </si>
  <si>
    <t>1104</t>
  </si>
  <si>
    <t>1105</t>
  </si>
  <si>
    <t>1106</t>
  </si>
  <si>
    <t>1107</t>
  </si>
  <si>
    <t>1108</t>
  </si>
  <si>
    <t>1109</t>
  </si>
  <si>
    <t>1110</t>
  </si>
  <si>
    <t>1111</t>
  </si>
  <si>
    <t>1112</t>
  </si>
  <si>
    <t>1113</t>
  </si>
  <si>
    <t>1114</t>
  </si>
  <si>
    <t>11EB</t>
  </si>
  <si>
    <t>11FB</t>
  </si>
  <si>
    <t>1201</t>
  </si>
  <si>
    <t>1202</t>
  </si>
  <si>
    <t>1203</t>
  </si>
  <si>
    <t>1204</t>
  </si>
  <si>
    <t>1205</t>
  </si>
  <si>
    <t>1206</t>
  </si>
  <si>
    <t>1207</t>
  </si>
  <si>
    <t>1208</t>
  </si>
  <si>
    <t>1209</t>
  </si>
  <si>
    <t>1210</t>
  </si>
  <si>
    <t>12EB</t>
  </si>
  <si>
    <t>12FB</t>
  </si>
  <si>
    <t>1301</t>
  </si>
  <si>
    <t>1302</t>
  </si>
  <si>
    <t>1303</t>
  </si>
  <si>
    <t>1304</t>
  </si>
  <si>
    <t>1305</t>
  </si>
  <si>
    <t>1306</t>
  </si>
  <si>
    <t>1307</t>
  </si>
  <si>
    <t>1308</t>
  </si>
  <si>
    <t>1309</t>
  </si>
  <si>
    <t>1310</t>
  </si>
  <si>
    <t>13EB</t>
  </si>
  <si>
    <t>13FB</t>
  </si>
  <si>
    <t>CROP_01EB, CROP_01FB, NEG01, POS01</t>
  </si>
  <si>
    <t>CROP_02EB, CROP_02FB, NEG01, POS01</t>
  </si>
  <si>
    <t>CROP_02EB, CROP_02FB, NEG05, POS05</t>
  </si>
  <si>
    <t>CROP_03EB, CROP_03FB, NEG02, POS02</t>
  </si>
  <si>
    <t>CROP_04EB, CROP_04FB, NEG02, POS02</t>
  </si>
  <si>
    <t>CROP_04EB, CROP_04FB, NEG10, POS10</t>
  </si>
  <si>
    <t>CROP_05EB, CROP_05FB, NEG05, POS05</t>
  </si>
  <si>
    <t>CROP_06EB, CROP_06FB, NEG03, POS03</t>
  </si>
  <si>
    <t>CROP_07EB, CROP_07FB, NEG03, POS03</t>
  </si>
  <si>
    <t>CROP_07EB, CROP_07FB, NEG10, POS10</t>
  </si>
  <si>
    <t>CROP_08EB, CROP_08FB, NEG06, POS06</t>
  </si>
  <si>
    <t>CROP_09EB, CROP_09FB, NEG08, POS08</t>
  </si>
  <si>
    <t>CROP_10EB, CROP_10FB, NEG04, POS04</t>
  </si>
  <si>
    <t>CROP_11EB, CROP_11FB, NEG06, POS06</t>
  </si>
  <si>
    <t>CROP_11EB, CROP_11FB, NEG07, POS07</t>
  </si>
  <si>
    <t>CROP_12EB, CROP_12FB, NEG04, POS04</t>
  </si>
  <si>
    <t>CROP_12EB, CROP_12FB, NEG10, POS10</t>
  </si>
  <si>
    <t>CROP_13EB, CROP_13FB, NEG07, POS07</t>
  </si>
  <si>
    <t>Water sample (2L bottle dippled into small stream in 3 distinct areas within 3m of the point)</t>
  </si>
  <si>
    <t>water bottle</t>
  </si>
  <si>
    <t>PT3H</t>
  </si>
  <si>
    <t>freshwater wetland ecosystem [ENVO_00000243]</t>
  </si>
  <si>
    <t>fresh water [ENVO:00002011]</t>
  </si>
  <si>
    <t>Whatman</t>
  </si>
  <si>
    <t>Lib1</t>
  </si>
  <si>
    <t>Lib5</t>
  </si>
  <si>
    <t>Lib2</t>
  </si>
  <si>
    <t>Lib10</t>
  </si>
  <si>
    <t>Lib3</t>
  </si>
  <si>
    <t>Lib6</t>
  </si>
  <si>
    <t>Lib8</t>
  </si>
  <si>
    <t>Lib4</t>
  </si>
  <si>
    <t>Lib7</t>
  </si>
  <si>
    <t>Lib9</t>
  </si>
  <si>
    <t>Lib11</t>
  </si>
  <si>
    <t>run18092024</t>
  </si>
  <si>
    <t>Qubit 3.0 Fluorometer</t>
  </si>
  <si>
    <t>CROP_0101.R2.fastq.gz</t>
  </si>
  <si>
    <t>CROP_0102.R2.fastq.gz</t>
  </si>
  <si>
    <t>CROP_0103.R2.fastq.gz</t>
  </si>
  <si>
    <t>CROP_0104.R2.fastq.gz</t>
  </si>
  <si>
    <t>CROP_0105.R2.fastq.gz</t>
  </si>
  <si>
    <t>CROP_0106.R2.fastq.gz</t>
  </si>
  <si>
    <t>CROP_0107.R2.fastq.gz</t>
  </si>
  <si>
    <t>CROP_0108.R2.fastq.gz</t>
  </si>
  <si>
    <t>CROP_0109.R2.fastq.gz</t>
  </si>
  <si>
    <t>CROP_0110.R2.fastq.gz</t>
  </si>
  <si>
    <t>CROP_0201.R2.fastq.gz</t>
  </si>
  <si>
    <t>CROP_0202.R2.fastq.gz</t>
  </si>
  <si>
    <t>CROP_0203.R2.fastq.gz</t>
  </si>
  <si>
    <t>CROP_0204.R2.fastq.gz</t>
  </si>
  <si>
    <t>CROP_0205.R2.fastq.gz</t>
  </si>
  <si>
    <t>CROP_0206.R2.fastq.gz</t>
  </si>
  <si>
    <t>CROP_0207.R2.fastq.gz</t>
  </si>
  <si>
    <t>CROP_0208.R2.fastq.gz</t>
  </si>
  <si>
    <t>CROP_0209.R2.fastq.gz</t>
  </si>
  <si>
    <t>CROP_0210.R2.fastq.gz</t>
  </si>
  <si>
    <t>CROP_0211.R2.fastq.gz</t>
  </si>
  <si>
    <t>CROP_0212.R2.fastq.gz</t>
  </si>
  <si>
    <t>CROP_0213.R2.fastq.gz</t>
  </si>
  <si>
    <t>CROP_0214.R2.fastq.gz</t>
  </si>
  <si>
    <t>CROP_0301.R2.fastq.gz</t>
  </si>
  <si>
    <t>CROP_0302.R2.fastq.gz</t>
  </si>
  <si>
    <t>CROP_0303.R2.fastq.gz</t>
  </si>
  <si>
    <t>CROP_0304.R2.fastq.gz</t>
  </si>
  <si>
    <t>CROP_0305.R2.fastq.gz</t>
  </si>
  <si>
    <t>CROP_0306.R2.fastq.gz</t>
  </si>
  <si>
    <t>CROP_0307.R2.fastq.gz</t>
  </si>
  <si>
    <t>CROP_0308.R2.fastq.gz</t>
  </si>
  <si>
    <t>CROP_0309.R2.fastq.gz</t>
  </si>
  <si>
    <t>CROP_0310.R2.fastq.gz</t>
  </si>
  <si>
    <t>CROP_0401.R2.fastq.gz</t>
  </si>
  <si>
    <t>CROP_0402.R2.fastq.gz</t>
  </si>
  <si>
    <t>CROP_0403.R2.fastq.gz</t>
  </si>
  <si>
    <t>CROP_0404.R2.fastq.gz</t>
  </si>
  <si>
    <t>CROP_0405.R2.fastq.gz</t>
  </si>
  <si>
    <t>CROP_0406.R2.fastq.gz</t>
  </si>
  <si>
    <t>CROP_0407.R2.fastq.gz</t>
  </si>
  <si>
    <t>CROP_0408.R2.fastq.gz</t>
  </si>
  <si>
    <t>CROP_0409.R2.fastq.gz</t>
  </si>
  <si>
    <t>CROP_0410.R2.fastq.gz</t>
  </si>
  <si>
    <t>CROP_0501.R2.fastq.gz</t>
  </si>
  <si>
    <t>CROP_0502.R2.fastq.gz</t>
  </si>
  <si>
    <t>CROP_0503.R2.fastq.gz</t>
  </si>
  <si>
    <t>CROP_0504.R2.fastq.gz</t>
  </si>
  <si>
    <t>CROP_0505.R2.fastq.gz</t>
  </si>
  <si>
    <t>CROP_0506.R2.fastq.gz</t>
  </si>
  <si>
    <t>CROP_0507.R2.fastq.gz</t>
  </si>
  <si>
    <t>CROP_0508.R2.fastq.gz</t>
  </si>
  <si>
    <t>CROP_0509.R2.fastq.gz</t>
  </si>
  <si>
    <t>CROP_0510.R2.fastq.gz</t>
  </si>
  <si>
    <t>CROP_0511.R2.fastq.gz</t>
  </si>
  <si>
    <t>CROP_0512.R2.fastq.gz</t>
  </si>
  <si>
    <t>CROP_0514.R2.fastq.gz</t>
  </si>
  <si>
    <t>CROP_0601.R2.fastq.gz</t>
  </si>
  <si>
    <t>CROP_0602.R2.fastq.gz</t>
  </si>
  <si>
    <t>CROP_0603.R2.fastq.gz</t>
  </si>
  <si>
    <t>CROP_0604.R2.fastq.gz</t>
  </si>
  <si>
    <t>CROP_0605.R2.fastq.gz</t>
  </si>
  <si>
    <t>CROP_0606.R2.fastq.gz</t>
  </si>
  <si>
    <t>CROP_0607.R2.fastq.gz</t>
  </si>
  <si>
    <t>CROP_0608.R2.fastq.gz</t>
  </si>
  <si>
    <t>CROP_0609.R2.fastq.gz</t>
  </si>
  <si>
    <t>CROP_0610.R2.fastq.gz</t>
  </si>
  <si>
    <t>CROP_0701.R2.fastq.gz</t>
  </si>
  <si>
    <t>CROP_0702.R2.fastq.gz</t>
  </si>
  <si>
    <t>CROP_0703.R2.fastq.gz</t>
  </si>
  <si>
    <t>CROP_0704.R2.fastq.gz</t>
  </si>
  <si>
    <t>CROP_0705.R2.fastq.gz</t>
  </si>
  <si>
    <t>CROP_0706.R2.fastq.gz</t>
  </si>
  <si>
    <t>CROP_0707.R2.fastq.gz</t>
  </si>
  <si>
    <t>CROP_0708.R2.fastq.gz</t>
  </si>
  <si>
    <t>CROP_0709.R2.fastq.gz</t>
  </si>
  <si>
    <t>CROP_0710.R2.fastq.gz</t>
  </si>
  <si>
    <t>CROP_0801.R2.fastq.gz</t>
  </si>
  <si>
    <t>CROP_0802.R2.fastq.gz</t>
  </si>
  <si>
    <t>CROP_0803.R2.fastq.gz</t>
  </si>
  <si>
    <t>CROP_0804.R2.fastq.gz</t>
  </si>
  <si>
    <t>CROP_0805.R2.fastq.gz</t>
  </si>
  <si>
    <t>CROP_0806.R2.fastq.gz</t>
  </si>
  <si>
    <t>CROP_0807.R2.fastq.gz</t>
  </si>
  <si>
    <t>CROP_0808.R2.fastq.gz</t>
  </si>
  <si>
    <t>CROP_0809.R2.fastq.gz</t>
  </si>
  <si>
    <t>CROP_0810.R2.fastq.gz</t>
  </si>
  <si>
    <t>CROP_0811.R2.fastq.gz</t>
  </si>
  <si>
    <t>CROP_0812.R2.fastq.gz</t>
  </si>
  <si>
    <t>CROP_0813.R2.fastq.gz</t>
  </si>
  <si>
    <t>CROP_0814.R2.fastq.gz</t>
  </si>
  <si>
    <t>CROP_0901.R2.fastq.gz</t>
  </si>
  <si>
    <t>CROP_0902.R2.fastq.gz</t>
  </si>
  <si>
    <t>CROP_0903.R2.fastq.gz</t>
  </si>
  <si>
    <t>CROP_0904.R2.fastq.gz</t>
  </si>
  <si>
    <t>CROP_0905.R2.fastq.gz</t>
  </si>
  <si>
    <t>CROP_0906.R2.fastq.gz</t>
  </si>
  <si>
    <t>CROP_0907.R2.fastq.gz</t>
  </si>
  <si>
    <t>CROP_0908.R2.fastq.gz</t>
  </si>
  <si>
    <t>CROP_0909.R2.fastq.gz</t>
  </si>
  <si>
    <t>CROP_0910.R2.fastq.gz</t>
  </si>
  <si>
    <t>CROP_1001.R2.fastq.gz</t>
  </si>
  <si>
    <t>CROP_1002.R2.fastq.gz</t>
  </si>
  <si>
    <t>CROP_1003.R2.fastq.gz</t>
  </si>
  <si>
    <t>CROP_1004.R2.fastq.gz</t>
  </si>
  <si>
    <t>CROP_1005.R2.fastq.gz</t>
  </si>
  <si>
    <t>CROP_1006.R2.fastq.gz</t>
  </si>
  <si>
    <t>CROP_1007.R2.fastq.gz</t>
  </si>
  <si>
    <t>CROP_1008.R2.fastq.gz</t>
  </si>
  <si>
    <t>CROP_1009.R2.fastq.gz</t>
  </si>
  <si>
    <t>CROP_1010.R2.fastq.gz</t>
  </si>
  <si>
    <t>CROP_1101.R2.fastq.gz</t>
  </si>
  <si>
    <t>CROP_1102.R2.fastq.gz</t>
  </si>
  <si>
    <t>CROP_1103.R2.fastq.gz</t>
  </si>
  <si>
    <t>CROP_1104.R2.fastq.gz</t>
  </si>
  <si>
    <t>CROP_1105.R2.fastq.gz</t>
  </si>
  <si>
    <t>CROP_1106.R2.fastq.gz</t>
  </si>
  <si>
    <t>CROP_1107.R2.fastq.gz</t>
  </si>
  <si>
    <t>CROP_1108.R2.fastq.gz</t>
  </si>
  <si>
    <t>CROP_1109.R2.fastq.gz</t>
  </si>
  <si>
    <t>CROP_1110.R2.fastq.gz</t>
  </si>
  <si>
    <t>CROP_1111.R2.fastq.gz</t>
  </si>
  <si>
    <t>CROP_1112.R2.fastq.gz</t>
  </si>
  <si>
    <t>CROP_1113.R2.fastq.gz</t>
  </si>
  <si>
    <t>CROP_1114.R2.fastq.gz</t>
  </si>
  <si>
    <t>CROP_1201.R2.fastq.gz</t>
  </si>
  <si>
    <t>CROP_1202.R2.fastq.gz</t>
  </si>
  <si>
    <t>CROP_1203.R2.fastq.gz</t>
  </si>
  <si>
    <t>CROP_1204.R2.fastq.gz</t>
  </si>
  <si>
    <t>CROP_1205.R2.fastq.gz</t>
  </si>
  <si>
    <t>CROP_1206.R2.fastq.gz</t>
  </si>
  <si>
    <t>CROP_1207.R2.fastq.gz</t>
  </si>
  <si>
    <t>CROP_1208.R2.fastq.gz</t>
  </si>
  <si>
    <t>CROP_1209.R2.fastq.gz</t>
  </si>
  <si>
    <t>CROP_1210.R2.fastq.gz</t>
  </si>
  <si>
    <t>CROP_1301.R2.fastq.gz</t>
  </si>
  <si>
    <t>CROP_1302.R2.fastq.gz</t>
  </si>
  <si>
    <t>CROP_1303.R2.fastq.gz</t>
  </si>
  <si>
    <t>CROP_1304.R2.fastq.gz</t>
  </si>
  <si>
    <t>CROP_1305.R2.fastq.gz</t>
  </si>
  <si>
    <t>CROP_1306.R2.fastq.gz</t>
  </si>
  <si>
    <t>CROP_1307.R2.fastq.gz</t>
  </si>
  <si>
    <t>CROP_1308.R2.fastq.gz</t>
  </si>
  <si>
    <t>CROP_1309.R2.fastq.gz</t>
  </si>
  <si>
    <t>CROP_1310.R2.fastq.gz</t>
  </si>
  <si>
    <t>CROP_0101.R1.fastq.gz</t>
  </si>
  <si>
    <t>CROP_0102.R1.fastq.gz</t>
  </si>
  <si>
    <t>CROP_0103.R1.fastq.gz</t>
  </si>
  <si>
    <t>CROP_0104.R1.fastq.gz</t>
  </si>
  <si>
    <t>CROP_0105.R1.fastq.gz</t>
  </si>
  <si>
    <t>CROP_0106.R1.fastq.gz</t>
  </si>
  <si>
    <t>CROP_0107.R1.fastq.gz</t>
  </si>
  <si>
    <t>CROP_0108.R1.fastq.gz</t>
  </si>
  <si>
    <t>CROP_0109.R1.fastq.gz</t>
  </si>
  <si>
    <t>CROP_0110.R1.fastq.gz</t>
  </si>
  <si>
    <t>CROP_01EB.R1.fastq.gz</t>
  </si>
  <si>
    <t>CROP_01EB.R2.fastq.gz</t>
  </si>
  <si>
    <t>CROP_01FB.R1.fastq.gz</t>
  </si>
  <si>
    <t>CROP_01FB.R2.fastq.gz</t>
  </si>
  <si>
    <t>CROP_0201.R1.fastq.gz</t>
  </si>
  <si>
    <t>CROP_0202.R1.fastq.gz</t>
  </si>
  <si>
    <t>CROP_0203.R1.fastq.gz</t>
  </si>
  <si>
    <t>CROP_0204.R1.fastq.gz</t>
  </si>
  <si>
    <t>CROP_0205.R1.fastq.gz</t>
  </si>
  <si>
    <t>CROP_0206.R1.fastq.gz</t>
  </si>
  <si>
    <t>CROP_0207.R1.fastq.gz</t>
  </si>
  <si>
    <t>CROP_0208.R1.fastq.gz</t>
  </si>
  <si>
    <t>CROP_0209.R1.fastq.gz</t>
  </si>
  <si>
    <t>CROP_0210.R1.fastq.gz</t>
  </si>
  <si>
    <t>CROP_0211.R1.fastq.gz</t>
  </si>
  <si>
    <t>CROP_0212.R1.fastq.gz</t>
  </si>
  <si>
    <t>CROP_0213.R1.fastq.gz</t>
  </si>
  <si>
    <t>CROP_0214.R1.fastq.gz</t>
  </si>
  <si>
    <t>CROP_02EB.R1.fastq.gz</t>
  </si>
  <si>
    <t>CROP_02EB.R2.fastq.gz</t>
  </si>
  <si>
    <t>CROP_02FB.R1.fastq.gz</t>
  </si>
  <si>
    <t>CROP_02FB.R2.fastq.gz</t>
  </si>
  <si>
    <t>CROP_0301.R1.fastq.gz</t>
  </si>
  <si>
    <t>CROP_0302.R1.fastq.gz</t>
  </si>
  <si>
    <t>CROP_0303.R1.fastq.gz</t>
  </si>
  <si>
    <t>CROP_0304.R1.fastq.gz</t>
  </si>
  <si>
    <t>CROP_0305.R1.fastq.gz</t>
  </si>
  <si>
    <t>CROP_0306.R1.fastq.gz</t>
  </si>
  <si>
    <t>CROP_0307.R1.fastq.gz</t>
  </si>
  <si>
    <t>CROP_0308.R1.fastq.gz</t>
  </si>
  <si>
    <t>CROP_0309.R1.fastq.gz</t>
  </si>
  <si>
    <t>CROP_0310.R1.fastq.gz</t>
  </si>
  <si>
    <t>CROP_03EB.R1.fastq.gz</t>
  </si>
  <si>
    <t>CROP_03EB.R2.fastq.gz</t>
  </si>
  <si>
    <t>CROP_03FB.R1.fastq.gz</t>
  </si>
  <si>
    <t>CROP_03FB.R2.fastq.gz</t>
  </si>
  <si>
    <t>CROP_0401.R1.fastq.gz</t>
  </si>
  <si>
    <t>CROP_0402.R1.fastq.gz</t>
  </si>
  <si>
    <t>CROP_0403.R1.fastq.gz</t>
  </si>
  <si>
    <t>CROP_0404.R1.fastq.gz</t>
  </si>
  <si>
    <t>CROP_0405.R1.fastq.gz</t>
  </si>
  <si>
    <t>CROP_0406.R1.fastq.gz</t>
  </si>
  <si>
    <t>CROP_0407.R1.fastq.gz</t>
  </si>
  <si>
    <t>CROP_0408.R1.fastq.gz</t>
  </si>
  <si>
    <t>CROP_0409.R1.fastq.gz</t>
  </si>
  <si>
    <t>CROP_0410.R1.fastq.gz</t>
  </si>
  <si>
    <t>CROP_04EB.R1.fastq.gz</t>
  </si>
  <si>
    <t>CROP_04EB.R2.fastq.gz</t>
  </si>
  <si>
    <t>CROP_04FB.R1.fastq.gz</t>
  </si>
  <si>
    <t>CROP_04FB.R2.fastq.gz</t>
  </si>
  <si>
    <t>CROP_0501.R1.fastq.gz</t>
  </si>
  <si>
    <t>CROP_0502.R1.fastq.gz</t>
  </si>
  <si>
    <t>CROP_0503.R1.fastq.gz</t>
  </si>
  <si>
    <t>CROP_0504.R1.fastq.gz</t>
  </si>
  <si>
    <t>CROP_0505.R1.fastq.gz</t>
  </si>
  <si>
    <t>CROP_0506.R1.fastq.gz</t>
  </si>
  <si>
    <t>CROP_0507.R1.fastq.gz</t>
  </si>
  <si>
    <t>CROP_0508.R1.fastq.gz</t>
  </si>
  <si>
    <t>CROP_0509.R1.fastq.gz</t>
  </si>
  <si>
    <t>CROP_0510.R1.fastq.gz</t>
  </si>
  <si>
    <t>CROP_0511.R1.fastq.gz</t>
  </si>
  <si>
    <t>CROP_0512.R1.fastq.gz</t>
  </si>
  <si>
    <t>CROP_0514.R1.fastq.gz</t>
  </si>
  <si>
    <t>CROP_05EB.R1.fastq.gz</t>
  </si>
  <si>
    <t>CROP_05EB.R2.fastq.gz</t>
  </si>
  <si>
    <t>CROP_05FB.R1.fastq.gz</t>
  </si>
  <si>
    <t>CROP_05FB.R2.fastq.gz</t>
  </si>
  <si>
    <t>CROP_0601.R1.fastq.gz</t>
  </si>
  <si>
    <t>CROP_0602.R1.fastq.gz</t>
  </si>
  <si>
    <t>CROP_0603.R1.fastq.gz</t>
  </si>
  <si>
    <t>CROP_0604.R1.fastq.gz</t>
  </si>
  <si>
    <t>CROP_0605.R1.fastq.gz</t>
  </si>
  <si>
    <t>CROP_0606.R1.fastq.gz</t>
  </si>
  <si>
    <t>CROP_0607.R1.fastq.gz</t>
  </si>
  <si>
    <t>CROP_0608.R1.fastq.gz</t>
  </si>
  <si>
    <t>CROP_0609.R1.fastq.gz</t>
  </si>
  <si>
    <t>CROP_0610.R1.fastq.gz</t>
  </si>
  <si>
    <t>CROP_06EB.R1.fastq.gz</t>
  </si>
  <si>
    <t>CROP_06EB.R2.fastq.gz</t>
  </si>
  <si>
    <t>CROP_06FB.R1.fastq.gz</t>
  </si>
  <si>
    <t>CROP_06FB.R2.fastq.gz</t>
  </si>
  <si>
    <t>CROP_0701.R1.fastq.gz</t>
  </si>
  <si>
    <t>CROP_0702.R1.fastq.gz</t>
  </si>
  <si>
    <t>CROP_0703.R1.fastq.gz</t>
  </si>
  <si>
    <t>CROP_0704.R1.fastq.gz</t>
  </si>
  <si>
    <t>CROP_0705.R1.fastq.gz</t>
  </si>
  <si>
    <t>CROP_0706.R1.fastq.gz</t>
  </si>
  <si>
    <t>CROP_0707.R1.fastq.gz</t>
  </si>
  <si>
    <t>CROP_0708.R1.fastq.gz</t>
  </si>
  <si>
    <t>CROP_0709.R1.fastq.gz</t>
  </si>
  <si>
    <t>CROP_0710.R1.fastq.gz</t>
  </si>
  <si>
    <t>CROP_07EB.R1.fastq.gz</t>
  </si>
  <si>
    <t>CROP_07EB.R2.fastq.gz</t>
  </si>
  <si>
    <t>CROP_07FB.R1.fastq.gz</t>
  </si>
  <si>
    <t>CROP_07FB.R2.fastq.gz</t>
  </si>
  <si>
    <t>CROP_0801.R1.fastq.gz</t>
  </si>
  <si>
    <t>CROP_0802.R1.fastq.gz</t>
  </si>
  <si>
    <t>CROP_0803.R1.fastq.gz</t>
  </si>
  <si>
    <t>CROP_0804.R1.fastq.gz</t>
  </si>
  <si>
    <t>CROP_0805.R1.fastq.gz</t>
  </si>
  <si>
    <t>CROP_0806.R1.fastq.gz</t>
  </si>
  <si>
    <t>CROP_0807.R1.fastq.gz</t>
  </si>
  <si>
    <t>CROP_0808.R1.fastq.gz</t>
  </si>
  <si>
    <t>CROP_0809.R1.fastq.gz</t>
  </si>
  <si>
    <t>CROP_0810.R1.fastq.gz</t>
  </si>
  <si>
    <t>CROP_0811.R1.fastq.gz</t>
  </si>
  <si>
    <t>CROP_0812.R1.fastq.gz</t>
  </si>
  <si>
    <t>CROP_0813.R1.fastq.gz</t>
  </si>
  <si>
    <t>CROP_0814.R1.fastq.gz</t>
  </si>
  <si>
    <t>CROP_08EB.R1.fastq.gz</t>
  </si>
  <si>
    <t>CROP_08EB.R2.fastq.gz</t>
  </si>
  <si>
    <t>CROP_08FB.R1.fastq.gz</t>
  </si>
  <si>
    <t>CROP_08FB.R2.fastq.gz</t>
  </si>
  <si>
    <t>CROP_0901.R1.fastq.gz</t>
  </si>
  <si>
    <t>CROP_0902.R1.fastq.gz</t>
  </si>
  <si>
    <t>CROP_0903.R1.fastq.gz</t>
  </si>
  <si>
    <t>CROP_0904.R1.fastq.gz</t>
  </si>
  <si>
    <t>CROP_0905.R1.fastq.gz</t>
  </si>
  <si>
    <t>CROP_0906.R1.fastq.gz</t>
  </si>
  <si>
    <t>CROP_0907.R1.fastq.gz</t>
  </si>
  <si>
    <t>CROP_0908.R1.fastq.gz</t>
  </si>
  <si>
    <t>CROP_0909.R1.fastq.gz</t>
  </si>
  <si>
    <t>CROP_0910.R1.fastq.gz</t>
  </si>
  <si>
    <t>CROP_09EB.R1.fastq.gz</t>
  </si>
  <si>
    <t>CROP_09EB.R2.fastq.gz</t>
  </si>
  <si>
    <t>CROP_09FB.R1.fastq.gz</t>
  </si>
  <si>
    <t>CROP_09FB.R2.fastq.gz</t>
  </si>
  <si>
    <t>CROP_1001.R1.fastq.gz</t>
  </si>
  <si>
    <t>CROP_1002.R1.fastq.gz</t>
  </si>
  <si>
    <t>CROP_1003.R1.fastq.gz</t>
  </si>
  <si>
    <t>CROP_1004.R1.fastq.gz</t>
  </si>
  <si>
    <t>CROP_1005.R1.fastq.gz</t>
  </si>
  <si>
    <t>CROP_1006.R1.fastq.gz</t>
  </si>
  <si>
    <t>CROP_1007.R1.fastq.gz</t>
  </si>
  <si>
    <t>CROP_1008.R1.fastq.gz</t>
  </si>
  <si>
    <t>CROP_1009.R1.fastq.gz</t>
  </si>
  <si>
    <t>CROP_1010.R1.fastq.gz</t>
  </si>
  <si>
    <t>CROP_10EB.R1.fastq.gz</t>
  </si>
  <si>
    <t>CROP_10EB.R2.fastq.gz</t>
  </si>
  <si>
    <t>CROP_10FB.R1.fastq.gz</t>
  </si>
  <si>
    <t>CROP_10FB.R2.fastq.gz</t>
  </si>
  <si>
    <t>CROP_1101.R1.fastq.gz</t>
  </si>
  <si>
    <t>CROP_1102.R1.fastq.gz</t>
  </si>
  <si>
    <t>CROP_1103.R1.fastq.gz</t>
  </si>
  <si>
    <t>CROP_1104.R1.fastq.gz</t>
  </si>
  <si>
    <t>CROP_1105.R1.fastq.gz</t>
  </si>
  <si>
    <t>CROP_1106.R1.fastq.gz</t>
  </si>
  <si>
    <t>CROP_1107.R1.fastq.gz</t>
  </si>
  <si>
    <t>CROP_1108.R1.fastq.gz</t>
  </si>
  <si>
    <t>CROP_1109.R1.fastq.gz</t>
  </si>
  <si>
    <t>CROP_1110.R1.fastq.gz</t>
  </si>
  <si>
    <t>CROP_1111.R1.fastq.gz</t>
  </si>
  <si>
    <t>CROP_1112.R1.fastq.gz</t>
  </si>
  <si>
    <t>CROP_1113.R1.fastq.gz</t>
  </si>
  <si>
    <t>CROP_1114.R1.fastq.gz</t>
  </si>
  <si>
    <t>CROP_11EB.R1.fastq.gz</t>
  </si>
  <si>
    <t>CROP_11EB.R2.fastq.gz</t>
  </si>
  <si>
    <t>CROP_11FB.R1.fastq.gz</t>
  </si>
  <si>
    <t>CROP_11FB.R2.fastq.gz</t>
  </si>
  <si>
    <t>CROP_1201.R1.fastq.gz</t>
  </si>
  <si>
    <t>CROP_1202.R1.fastq.gz</t>
  </si>
  <si>
    <t>CROP_1203.R1.fastq.gz</t>
  </si>
  <si>
    <t>CROP_1204.R1.fastq.gz</t>
  </si>
  <si>
    <t>CROP_1205.R1.fastq.gz</t>
  </si>
  <si>
    <t>CROP_1206.R1.fastq.gz</t>
  </si>
  <si>
    <t>CROP_1207.R1.fastq.gz</t>
  </si>
  <si>
    <t>CROP_1208.R1.fastq.gz</t>
  </si>
  <si>
    <t>CROP_1209.R1.fastq.gz</t>
  </si>
  <si>
    <t>CROP_1210.R1.fastq.gz</t>
  </si>
  <si>
    <t>CROP_12EB.R1.fastq.gz</t>
  </si>
  <si>
    <t>CROP_12EB.R2.fastq.gz</t>
  </si>
  <si>
    <t>CROP_12FB.R1.fastq.gz</t>
  </si>
  <si>
    <t>CROP_12FB.R2.fastq.gz</t>
  </si>
  <si>
    <t>CROP_1301.R1.fastq.gz</t>
  </si>
  <si>
    <t>CROP_1302.R1.fastq.gz</t>
  </si>
  <si>
    <t>CROP_1303.R1.fastq.gz</t>
  </si>
  <si>
    <t>CROP_1304.R1.fastq.gz</t>
  </si>
  <si>
    <t>CROP_1305.R1.fastq.gz</t>
  </si>
  <si>
    <t>CROP_1306.R1.fastq.gz</t>
  </si>
  <si>
    <t>CROP_1307.R1.fastq.gz</t>
  </si>
  <si>
    <t>CROP_1308.R1.fastq.gz</t>
  </si>
  <si>
    <t>CROP_1309.R1.fastq.gz</t>
  </si>
  <si>
    <t>CROP_1310.R1.fastq.gz</t>
  </si>
  <si>
    <t>CROP_13EB.R1.fastq.gz</t>
  </si>
  <si>
    <t>CROP_13EB.R2.fastq.gz</t>
  </si>
  <si>
    <t>CROP_13FB.R1.fastq.gz</t>
  </si>
  <si>
    <t>CROP_13FB.R2.fastq.gz</t>
  </si>
  <si>
    <t>CROP_NEG01.R1.fastq.gz</t>
  </si>
  <si>
    <t>CROP_NEG01.R2.fastq.gz</t>
  </si>
  <si>
    <t>CROP_NEG02.R1.fastq.gz</t>
  </si>
  <si>
    <t>CROP_NEG02.R2.fastq.gz</t>
  </si>
  <si>
    <t>CROP_NEG03.R1.fastq.gz</t>
  </si>
  <si>
    <t>CROP_NEG03.R2.fastq.gz</t>
  </si>
  <si>
    <t>CROP_NEG04.R1.fastq.gz</t>
  </si>
  <si>
    <t>CROP_NEG04.R2.fastq.gz</t>
  </si>
  <si>
    <t>CROP_NEG05.R1.fastq.gz</t>
  </si>
  <si>
    <t>CROP_NEG05.R2.fastq.gz</t>
  </si>
  <si>
    <t>CROP_NEG06.R1.fastq.gz</t>
  </si>
  <si>
    <t>CROP_NEG06.R2.fastq.gz</t>
  </si>
  <si>
    <t>CROP_NEG07.R1.fastq.gz</t>
  </si>
  <si>
    <t>CROP_NEG07.R2.fastq.gz</t>
  </si>
  <si>
    <t>CROP_NEG08.R1.fastq.gz</t>
  </si>
  <si>
    <t>CROP_NEG08.R2.fastq.gz</t>
  </si>
  <si>
    <t>CROP_NEG10.R1.fastq.gz</t>
  </si>
  <si>
    <t>CROP_NEG10.R2.fastq.gz</t>
  </si>
  <si>
    <t>CROP_POS01.R1.fastq.gz</t>
  </si>
  <si>
    <t>CROP_POS01.R2.fastq.gz</t>
  </si>
  <si>
    <t>CROP_POS02.R1.fastq.gz</t>
  </si>
  <si>
    <t>CROP_POS02.R2.fastq.gz</t>
  </si>
  <si>
    <t>CROP_POS03.R1.fastq.gz</t>
  </si>
  <si>
    <t>CROP_POS03.R2.fastq.gz</t>
  </si>
  <si>
    <t>CROP_POS04.R1.fastq.gz</t>
  </si>
  <si>
    <t>CROP_POS04.R2.fastq.gz</t>
  </si>
  <si>
    <t>CROP_POS05.R1.fastq.gz</t>
  </si>
  <si>
    <t>CROP_POS05.R2.fastq.gz</t>
  </si>
  <si>
    <t>CROP_POS06.R1.fastq.gz</t>
  </si>
  <si>
    <t>CROP_POS06.R2.fastq.gz</t>
  </si>
  <si>
    <t>CROP_POS07.R1.fastq.gz</t>
  </si>
  <si>
    <t>CROP_POS07.R2.fastq.gz</t>
  </si>
  <si>
    <t>CROP_POS08.R1.fastq.gz</t>
  </si>
  <si>
    <t>CROP_POS08.R2.fastq.gz</t>
  </si>
  <si>
    <t>CROP_POS10.R1.fastq.gz</t>
  </si>
  <si>
    <t>CROP_POS10.R2.fastq.gz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</si>
</sst>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7" x14ac:knownFonts="1">
    <font>
      <sz val="11"/>
      <color rgb="FF000000"/>
      <name val="Calibri"/>
      <family val="2"/>
      <scheme val="minor"/>
    </font>
    <font>
      <sz val="11"/>
      <color rgb="FF000000"/>
      <name val="Calibri"/>
      <family val="2"/>
    </font>
    <font>
      <b/>
      <sz val="11"/>
      <color rgb="FF000000"/>
      <name val="Calibri"/>
      <family val="2"/>
    </font>
    <font>
      <b/>
      <sz val="11"/>
      <color rgb="FFFF0000"/>
      <name val="Calibri"/>
      <family val="2"/>
    </font>
    <font>
      <sz val="11"/>
      <color rgb="FFFF0000"/>
      <name val="Calibri"/>
      <family val="2"/>
    </font>
    <font>
      <u/>
      <sz val="11"/>
      <color theme="10"/>
      <name val="Calibri"/>
      <family val="2"/>
      <scheme val="minor"/>
    </font>
    <font>
      <sz val="8"/>
      <name val="Calibri"/>
      <family val="2"/>
      <scheme val="minor"/>
    </font>
  </fonts>
  <fills count="6">
    <fill>
      <patternFill patternType="none"/>
    </fill>
    <fill>
      <patternFill patternType="gray125"/>
    </fill>
    <fill>
      <patternFill patternType="solid">
        <fgColor rgb="FFE26B0A"/>
      </patternFill>
    </fill>
    <fill>
      <patternFill patternType="solid">
        <fgColor rgb="FFFFCC00"/>
      </patternFill>
    </fill>
    <fill>
      <patternFill patternType="solid">
        <fgColor rgb="FFFFFF99"/>
      </patternFill>
    </fill>
    <fill>
      <patternFill patternType="solid">
        <fgColor rgb="FFCCFF99"/>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0">
    <xf numFmtId="0" fontId="0" fillId="0" borderId="0" xfId="0"/>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2" fillId="0" borderId="0" xfId="0" applyFont="1"/>
    <xf numFmtId="0" fontId="5" fillId="0" borderId="0" xfId="1"/>
    <xf numFmtId="14" fontId="0" fillId="0" borderId="0" xfId="0" applyNumberFormat="1"/>
    <xf numFmtId="164" fontId="0" fillId="0" borderId="0" xfId="0" applyNumberFormat="1"/>
    <xf numFmtId="164" fontId="0" fillId="0" borderId="0" xfId="0" quotePrefix="1"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c.cowgill@ucl.ac.uk"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zoomScale="125" workbookViewId="0">
      <selection activeCell="A13" sqref="A13"/>
    </sheetView>
  </sheetViews>
  <sheetFormatPr baseColWidth="10" defaultRowHeight="15"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2</v>
      </c>
    </row>
    <row r="7" spans="1:1" x14ac:dyDescent="0.2">
      <c r="A7" t="s">
        <v>5</v>
      </c>
    </row>
    <row r="8" spans="1:1" x14ac:dyDescent="0.2">
      <c r="A8" t="s">
        <v>2</v>
      </c>
    </row>
    <row r="9" spans="1:1" x14ac:dyDescent="0.2">
      <c r="A9" t="s">
        <v>6</v>
      </c>
    </row>
    <row r="10" spans="1:1" x14ac:dyDescent="0.2">
      <c r="A10" s="1" t="s">
        <v>7</v>
      </c>
    </row>
    <row r="11" spans="1:1" x14ac:dyDescent="0.2">
      <c r="A11" s="2" t="s">
        <v>8</v>
      </c>
    </row>
    <row r="12" spans="1:1" x14ac:dyDescent="0.2">
      <c r="A12" s="3" t="s">
        <v>9</v>
      </c>
    </row>
    <row r="13" spans="1:1" x14ac:dyDescent="0.2">
      <c r="A13" s="4" t="s">
        <v>10</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3"/>
  <sheetViews>
    <sheetView topLeftCell="A126" zoomScale="165" workbookViewId="0">
      <selection activeCell="D137" sqref="D137"/>
    </sheetView>
  </sheetViews>
  <sheetFormatPr baseColWidth="10" defaultRowHeight="15" x14ac:dyDescent="0.2"/>
  <sheetData>
    <row r="1" spans="1:4" x14ac:dyDescent="0.2">
      <c r="A1" s="5" t="s">
        <v>11</v>
      </c>
      <c r="B1" s="5" t="s">
        <v>12</v>
      </c>
      <c r="C1" s="5" t="s">
        <v>13</v>
      </c>
      <c r="D1" s="5" t="s">
        <v>14</v>
      </c>
    </row>
    <row r="2" spans="1:4" x14ac:dyDescent="0.2">
      <c r="A2" s="1" t="s">
        <v>15</v>
      </c>
      <c r="B2" t="s">
        <v>16</v>
      </c>
      <c r="C2" s="5" t="s">
        <v>17</v>
      </c>
      <c r="D2" t="s">
        <v>613</v>
      </c>
    </row>
    <row r="3" spans="1:4" x14ac:dyDescent="0.2">
      <c r="A3" s="3" t="s">
        <v>18</v>
      </c>
      <c r="B3" t="s">
        <v>16</v>
      </c>
      <c r="C3" s="5" t="s">
        <v>19</v>
      </c>
      <c r="D3" t="s">
        <v>673</v>
      </c>
    </row>
    <row r="4" spans="1:4" x14ac:dyDescent="0.2">
      <c r="A4" s="1" t="s">
        <v>15</v>
      </c>
      <c r="B4" t="s">
        <v>16</v>
      </c>
      <c r="C4" s="5" t="s">
        <v>20</v>
      </c>
      <c r="D4" s="6" t="s">
        <v>614</v>
      </c>
    </row>
    <row r="5" spans="1:4" x14ac:dyDescent="0.2">
      <c r="A5" s="3" t="s">
        <v>18</v>
      </c>
      <c r="B5" t="s">
        <v>16</v>
      </c>
      <c r="C5" s="5" t="s">
        <v>21</v>
      </c>
      <c r="D5" t="s">
        <v>615</v>
      </c>
    </row>
    <row r="6" spans="1:4" x14ac:dyDescent="0.2">
      <c r="A6" s="3" t="s">
        <v>18</v>
      </c>
      <c r="B6" t="s">
        <v>16</v>
      </c>
      <c r="C6" s="5" t="s">
        <v>22</v>
      </c>
      <c r="D6" t="s">
        <v>616</v>
      </c>
    </row>
    <row r="7" spans="1:4" x14ac:dyDescent="0.2">
      <c r="A7" s="3" t="s">
        <v>18</v>
      </c>
      <c r="B7" t="s">
        <v>16</v>
      </c>
      <c r="C7" s="5" t="s">
        <v>23</v>
      </c>
      <c r="D7" t="s">
        <v>617</v>
      </c>
    </row>
    <row r="8" spans="1:4" x14ac:dyDescent="0.2">
      <c r="A8" s="1" t="s">
        <v>15</v>
      </c>
      <c r="B8" t="s">
        <v>16</v>
      </c>
      <c r="C8" s="5" t="s">
        <v>24</v>
      </c>
      <c r="D8" t="s">
        <v>674</v>
      </c>
    </row>
    <row r="9" spans="1:4" x14ac:dyDescent="0.2">
      <c r="A9" s="4" t="s">
        <v>25</v>
      </c>
      <c r="B9" t="s">
        <v>16</v>
      </c>
      <c r="C9" s="5" t="s">
        <v>26</v>
      </c>
      <c r="D9" t="s">
        <v>618</v>
      </c>
    </row>
    <row r="10" spans="1:4" x14ac:dyDescent="0.2">
      <c r="A10" s="4" t="s">
        <v>25</v>
      </c>
      <c r="B10" t="s">
        <v>16</v>
      </c>
      <c r="C10" s="5" t="s">
        <v>27</v>
      </c>
      <c r="D10" t="s">
        <v>675</v>
      </c>
    </row>
    <row r="11" spans="1:4" x14ac:dyDescent="0.2">
      <c r="A11" s="1" t="s">
        <v>15</v>
      </c>
      <c r="B11" t="s">
        <v>16</v>
      </c>
      <c r="C11" s="5" t="s">
        <v>28</v>
      </c>
      <c r="D11" t="s">
        <v>203</v>
      </c>
    </row>
    <row r="12" spans="1:4" x14ac:dyDescent="0.2">
      <c r="A12" s="2" t="s">
        <v>29</v>
      </c>
      <c r="B12" t="s">
        <v>16</v>
      </c>
      <c r="C12" s="5" t="s">
        <v>30</v>
      </c>
      <c r="D12" t="s">
        <v>676</v>
      </c>
    </row>
    <row r="13" spans="1:4" x14ac:dyDescent="0.2">
      <c r="A13" s="2" t="s">
        <v>29</v>
      </c>
      <c r="B13" t="s">
        <v>16</v>
      </c>
      <c r="C13" s="5" t="s">
        <v>31</v>
      </c>
      <c r="D13" t="s">
        <v>208</v>
      </c>
    </row>
    <row r="14" spans="1:4" x14ac:dyDescent="0.2">
      <c r="A14" s="2" t="s">
        <v>29</v>
      </c>
      <c r="B14" t="s">
        <v>16</v>
      </c>
      <c r="C14" s="5" t="s">
        <v>32</v>
      </c>
      <c r="D14" t="s">
        <v>208</v>
      </c>
    </row>
    <row r="15" spans="1:4" x14ac:dyDescent="0.2">
      <c r="A15" s="1" t="s">
        <v>15</v>
      </c>
      <c r="B15" t="s">
        <v>33</v>
      </c>
      <c r="C15" s="5" t="s">
        <v>34</v>
      </c>
      <c r="D15" t="s">
        <v>619</v>
      </c>
    </row>
    <row r="16" spans="1:4" x14ac:dyDescent="0.2">
      <c r="A16" s="3" t="s">
        <v>18</v>
      </c>
      <c r="B16" t="s">
        <v>33</v>
      </c>
      <c r="C16" s="5" t="s">
        <v>35</v>
      </c>
      <c r="D16" s="7">
        <v>46145</v>
      </c>
    </row>
    <row r="17" spans="1:4" x14ac:dyDescent="0.2">
      <c r="A17" s="3" t="s">
        <v>18</v>
      </c>
      <c r="B17" t="s">
        <v>33</v>
      </c>
      <c r="C17" s="5" t="s">
        <v>36</v>
      </c>
    </row>
    <row r="18" spans="1:4" x14ac:dyDescent="0.2">
      <c r="A18" s="3" t="s">
        <v>18</v>
      </c>
      <c r="B18" t="s">
        <v>33</v>
      </c>
      <c r="C18" s="5" t="s">
        <v>37</v>
      </c>
      <c r="D18" t="s">
        <v>615</v>
      </c>
    </row>
    <row r="19" spans="1:4" x14ac:dyDescent="0.2">
      <c r="A19" s="3" t="s">
        <v>18</v>
      </c>
      <c r="B19" t="s">
        <v>33</v>
      </c>
      <c r="C19" s="5" t="s">
        <v>38</v>
      </c>
      <c r="D19" t="s">
        <v>620</v>
      </c>
    </row>
    <row r="20" spans="1:4" x14ac:dyDescent="0.2">
      <c r="A20" s="4" t="s">
        <v>25</v>
      </c>
      <c r="B20" t="s">
        <v>33</v>
      </c>
      <c r="C20" s="5" t="s">
        <v>39</v>
      </c>
    </row>
    <row r="21" spans="1:4" x14ac:dyDescent="0.2">
      <c r="A21" s="4" t="s">
        <v>25</v>
      </c>
      <c r="B21" t="s">
        <v>33</v>
      </c>
      <c r="C21" s="5" t="s">
        <v>40</v>
      </c>
    </row>
    <row r="22" spans="1:4" x14ac:dyDescent="0.2">
      <c r="A22" s="3" t="s">
        <v>18</v>
      </c>
      <c r="B22" t="s">
        <v>33</v>
      </c>
      <c r="C22" s="5" t="s">
        <v>41</v>
      </c>
    </row>
    <row r="23" spans="1:4" x14ac:dyDescent="0.2">
      <c r="A23" s="4" t="s">
        <v>25</v>
      </c>
      <c r="B23" t="s">
        <v>33</v>
      </c>
      <c r="C23" s="5" t="s">
        <v>42</v>
      </c>
    </row>
    <row r="24" spans="1:4" x14ac:dyDescent="0.2">
      <c r="A24" s="3" t="s">
        <v>18</v>
      </c>
      <c r="B24" t="s">
        <v>33</v>
      </c>
      <c r="C24" s="5" t="s">
        <v>43</v>
      </c>
      <c r="D24" t="s">
        <v>677</v>
      </c>
    </row>
    <row r="25" spans="1:4" x14ac:dyDescent="0.2">
      <c r="A25" s="3" t="s">
        <v>18</v>
      </c>
      <c r="B25" t="s">
        <v>44</v>
      </c>
      <c r="C25" s="5" t="s">
        <v>45</v>
      </c>
      <c r="D25" t="s">
        <v>678</v>
      </c>
    </row>
    <row r="26" spans="1:4" x14ac:dyDescent="0.2">
      <c r="A26" s="1" t="s">
        <v>15</v>
      </c>
      <c r="B26" t="s">
        <v>46</v>
      </c>
      <c r="C26" s="5" t="s">
        <v>47</v>
      </c>
      <c r="D26" t="s">
        <v>208</v>
      </c>
    </row>
    <row r="27" spans="1:4" x14ac:dyDescent="0.2">
      <c r="A27" s="4" t="s">
        <v>25</v>
      </c>
      <c r="B27" t="s">
        <v>46</v>
      </c>
      <c r="C27" s="5" t="s">
        <v>48</v>
      </c>
      <c r="D27" t="s">
        <v>208</v>
      </c>
    </row>
    <row r="28" spans="1:4" x14ac:dyDescent="0.2">
      <c r="A28" s="4" t="s">
        <v>25</v>
      </c>
      <c r="B28" t="s">
        <v>46</v>
      </c>
      <c r="C28" s="5" t="s">
        <v>49</v>
      </c>
      <c r="D28" t="s">
        <v>622</v>
      </c>
    </row>
    <row r="29" spans="1:4" x14ac:dyDescent="0.2">
      <c r="A29" s="4" t="s">
        <v>25</v>
      </c>
      <c r="B29" t="s">
        <v>46</v>
      </c>
      <c r="C29" s="5" t="s">
        <v>50</v>
      </c>
      <c r="D29" t="s">
        <v>623</v>
      </c>
    </row>
    <row r="30" spans="1:4" x14ac:dyDescent="0.2">
      <c r="A30" s="1" t="s">
        <v>15</v>
      </c>
      <c r="B30" t="s">
        <v>46</v>
      </c>
      <c r="C30" s="5" t="s">
        <v>51</v>
      </c>
      <c r="D30" t="s">
        <v>624</v>
      </c>
    </row>
    <row r="31" spans="1:4" x14ac:dyDescent="0.2">
      <c r="A31" s="3" t="s">
        <v>18</v>
      </c>
      <c r="B31" t="s">
        <v>46</v>
      </c>
      <c r="C31" s="5" t="s">
        <v>52</v>
      </c>
      <c r="D31" t="s">
        <v>625</v>
      </c>
    </row>
    <row r="32" spans="1:4" x14ac:dyDescent="0.2">
      <c r="A32" s="1" t="s">
        <v>15</v>
      </c>
      <c r="B32" t="s">
        <v>46</v>
      </c>
      <c r="C32" s="5" t="s">
        <v>53</v>
      </c>
      <c r="D32" t="s">
        <v>626</v>
      </c>
    </row>
    <row r="33" spans="1:4" x14ac:dyDescent="0.2">
      <c r="A33" s="3" t="s">
        <v>18</v>
      </c>
      <c r="B33" t="s">
        <v>46</v>
      </c>
      <c r="C33" s="5" t="s">
        <v>54</v>
      </c>
      <c r="D33" t="s">
        <v>626</v>
      </c>
    </row>
    <row r="34" spans="1:4" x14ac:dyDescent="0.2">
      <c r="A34" s="2" t="s">
        <v>29</v>
      </c>
      <c r="B34" t="s">
        <v>46</v>
      </c>
      <c r="C34" s="5" t="s">
        <v>55</v>
      </c>
      <c r="D34" t="s">
        <v>300</v>
      </c>
    </row>
    <row r="35" spans="1:4" x14ac:dyDescent="0.2">
      <c r="A35" s="4" t="s">
        <v>25</v>
      </c>
      <c r="B35" t="s">
        <v>46</v>
      </c>
      <c r="C35" s="5" t="s">
        <v>56</v>
      </c>
      <c r="D35" t="s">
        <v>627</v>
      </c>
    </row>
    <row r="36" spans="1:4" x14ac:dyDescent="0.2">
      <c r="A36" s="2" t="s">
        <v>29</v>
      </c>
      <c r="B36" t="s">
        <v>46</v>
      </c>
      <c r="C36" s="5" t="s">
        <v>57</v>
      </c>
      <c r="D36">
        <v>106</v>
      </c>
    </row>
    <row r="37" spans="1:4" x14ac:dyDescent="0.2">
      <c r="A37" s="1" t="s">
        <v>15</v>
      </c>
      <c r="B37" t="s">
        <v>46</v>
      </c>
      <c r="C37" s="5" t="s">
        <v>58</v>
      </c>
      <c r="D37" t="s">
        <v>628</v>
      </c>
    </row>
    <row r="38" spans="1:4" x14ac:dyDescent="0.2">
      <c r="A38" s="1" t="s">
        <v>15</v>
      </c>
      <c r="B38" t="s">
        <v>46</v>
      </c>
      <c r="C38" s="5" t="s">
        <v>59</v>
      </c>
      <c r="D38" t="s">
        <v>629</v>
      </c>
    </row>
    <row r="39" spans="1:4" x14ac:dyDescent="0.2">
      <c r="A39" s="3" t="s">
        <v>18</v>
      </c>
      <c r="B39" t="s">
        <v>46</v>
      </c>
      <c r="C39" s="5" t="s">
        <v>60</v>
      </c>
      <c r="D39" t="s">
        <v>630</v>
      </c>
    </row>
    <row r="40" spans="1:4" x14ac:dyDescent="0.2">
      <c r="A40" s="3" t="s">
        <v>18</v>
      </c>
      <c r="B40" t="s">
        <v>46</v>
      </c>
      <c r="C40" s="5" t="s">
        <v>61</v>
      </c>
      <c r="D40" t="s">
        <v>631</v>
      </c>
    </row>
    <row r="41" spans="1:4" x14ac:dyDescent="0.2">
      <c r="A41" s="2" t="s">
        <v>29</v>
      </c>
      <c r="B41" t="s">
        <v>46</v>
      </c>
      <c r="C41" s="5" t="s">
        <v>62</v>
      </c>
      <c r="D41" t="s">
        <v>632</v>
      </c>
    </row>
    <row r="42" spans="1:4" x14ac:dyDescent="0.2">
      <c r="A42" s="2" t="s">
        <v>29</v>
      </c>
      <c r="B42" t="s">
        <v>46</v>
      </c>
      <c r="C42" s="5" t="s">
        <v>63</v>
      </c>
      <c r="D42" t="s">
        <v>632</v>
      </c>
    </row>
    <row r="43" spans="1:4" x14ac:dyDescent="0.2">
      <c r="A43" s="3" t="s">
        <v>18</v>
      </c>
      <c r="B43" t="s">
        <v>46</v>
      </c>
      <c r="C43" s="5" t="s">
        <v>64</v>
      </c>
      <c r="D43">
        <v>2</v>
      </c>
    </row>
    <row r="44" spans="1:4" x14ac:dyDescent="0.2">
      <c r="A44" s="3" t="s">
        <v>18</v>
      </c>
      <c r="B44" t="s">
        <v>46</v>
      </c>
      <c r="C44" s="5" t="s">
        <v>65</v>
      </c>
      <c r="D44">
        <v>2</v>
      </c>
    </row>
    <row r="45" spans="1:4" x14ac:dyDescent="0.2">
      <c r="A45" s="3" t="s">
        <v>18</v>
      </c>
      <c r="B45" t="s">
        <v>46</v>
      </c>
      <c r="C45" s="5" t="s">
        <v>66</v>
      </c>
      <c r="D45">
        <v>10</v>
      </c>
    </row>
    <row r="46" spans="1:4" x14ac:dyDescent="0.2">
      <c r="A46" s="3" t="s">
        <v>18</v>
      </c>
      <c r="B46" t="s">
        <v>46</v>
      </c>
      <c r="C46" s="5" t="s">
        <v>67</v>
      </c>
      <c r="D46">
        <v>10</v>
      </c>
    </row>
    <row r="47" spans="1:4" x14ac:dyDescent="0.2">
      <c r="A47" s="2" t="s">
        <v>29</v>
      </c>
      <c r="B47" t="s">
        <v>46</v>
      </c>
      <c r="C47" s="5" t="s">
        <v>68</v>
      </c>
    </row>
    <row r="48" spans="1:4" x14ac:dyDescent="0.2">
      <c r="A48" s="2" t="s">
        <v>29</v>
      </c>
      <c r="B48" t="s">
        <v>46</v>
      </c>
      <c r="C48" s="5" t="s">
        <v>69</v>
      </c>
    </row>
    <row r="49" spans="1:4" x14ac:dyDescent="0.2">
      <c r="A49" s="2" t="s">
        <v>29</v>
      </c>
      <c r="B49" t="s">
        <v>46</v>
      </c>
      <c r="C49" s="5" t="s">
        <v>70</v>
      </c>
    </row>
    <row r="50" spans="1:4" x14ac:dyDescent="0.2">
      <c r="A50" s="2" t="s">
        <v>29</v>
      </c>
      <c r="B50" t="s">
        <v>46</v>
      </c>
      <c r="C50" s="5" t="s">
        <v>71</v>
      </c>
    </row>
    <row r="51" spans="1:4" x14ac:dyDescent="0.2">
      <c r="A51" s="2" t="s">
        <v>29</v>
      </c>
      <c r="B51" t="s">
        <v>46</v>
      </c>
      <c r="C51" s="5" t="s">
        <v>72</v>
      </c>
    </row>
    <row r="52" spans="1:4" x14ac:dyDescent="0.2">
      <c r="A52" s="2" t="s">
        <v>29</v>
      </c>
      <c r="B52" t="s">
        <v>46</v>
      </c>
      <c r="C52" s="5" t="s">
        <v>73</v>
      </c>
      <c r="D52" t="s">
        <v>633</v>
      </c>
    </row>
    <row r="53" spans="1:4" x14ac:dyDescent="0.2">
      <c r="A53" s="2" t="s">
        <v>29</v>
      </c>
      <c r="B53" t="s">
        <v>46</v>
      </c>
      <c r="C53" s="5" t="s">
        <v>74</v>
      </c>
    </row>
    <row r="54" spans="1:4" x14ac:dyDescent="0.2">
      <c r="A54" s="4" t="s">
        <v>25</v>
      </c>
      <c r="B54" t="s">
        <v>46</v>
      </c>
      <c r="C54" s="5" t="s">
        <v>75</v>
      </c>
    </row>
    <row r="55" spans="1:4" x14ac:dyDescent="0.2">
      <c r="A55" s="4" t="s">
        <v>25</v>
      </c>
      <c r="B55" t="s">
        <v>46</v>
      </c>
      <c r="C55" s="5" t="s">
        <v>76</v>
      </c>
    </row>
    <row r="56" spans="1:4" x14ac:dyDescent="0.2">
      <c r="A56" s="4" t="s">
        <v>25</v>
      </c>
      <c r="B56" t="s">
        <v>46</v>
      </c>
      <c r="C56" s="5" t="s">
        <v>77</v>
      </c>
    </row>
    <row r="57" spans="1:4" x14ac:dyDescent="0.2">
      <c r="A57" s="3" t="s">
        <v>18</v>
      </c>
      <c r="B57" t="s">
        <v>46</v>
      </c>
      <c r="C57" s="5" t="s">
        <v>78</v>
      </c>
      <c r="D57">
        <v>25</v>
      </c>
    </row>
    <row r="58" spans="1:4" x14ac:dyDescent="0.2">
      <c r="A58" s="2" t="s">
        <v>29</v>
      </c>
      <c r="B58" t="s">
        <v>46</v>
      </c>
      <c r="C58" s="5" t="s">
        <v>79</v>
      </c>
      <c r="D58">
        <v>2</v>
      </c>
    </row>
    <row r="59" spans="1:4" x14ac:dyDescent="0.2">
      <c r="A59" s="2" t="s">
        <v>29</v>
      </c>
      <c r="B59" t="s">
        <v>46</v>
      </c>
      <c r="C59" s="5" t="s">
        <v>80</v>
      </c>
      <c r="D59">
        <v>3</v>
      </c>
    </row>
    <row r="60" spans="1:4" x14ac:dyDescent="0.2">
      <c r="A60" s="3" t="s">
        <v>18</v>
      </c>
      <c r="B60" t="s">
        <v>46</v>
      </c>
      <c r="C60" s="5" t="s">
        <v>81</v>
      </c>
      <c r="D60" t="s">
        <v>634</v>
      </c>
    </row>
    <row r="61" spans="1:4" x14ac:dyDescent="0.2">
      <c r="A61" s="2" t="s">
        <v>29</v>
      </c>
      <c r="B61" t="s">
        <v>46</v>
      </c>
      <c r="C61" s="5" t="s">
        <v>82</v>
      </c>
      <c r="D61" t="s">
        <v>635</v>
      </c>
    </row>
    <row r="62" spans="1:4" x14ac:dyDescent="0.2">
      <c r="A62" s="2" t="s">
        <v>29</v>
      </c>
      <c r="B62" t="s">
        <v>46</v>
      </c>
      <c r="C62" s="5" t="s">
        <v>83</v>
      </c>
      <c r="D62">
        <v>58</v>
      </c>
    </row>
    <row r="63" spans="1:4" x14ac:dyDescent="0.2">
      <c r="A63" s="2" t="s">
        <v>29</v>
      </c>
      <c r="B63" t="s">
        <v>46</v>
      </c>
      <c r="C63" s="5" t="s">
        <v>84</v>
      </c>
      <c r="D63">
        <v>35</v>
      </c>
    </row>
    <row r="64" spans="1:4" x14ac:dyDescent="0.2">
      <c r="A64" s="4" t="s">
        <v>25</v>
      </c>
      <c r="B64" t="s">
        <v>46</v>
      </c>
      <c r="C64" s="5" t="s">
        <v>85</v>
      </c>
    </row>
    <row r="65" spans="1:3" x14ac:dyDescent="0.2">
      <c r="A65" s="4" t="s">
        <v>25</v>
      </c>
      <c r="B65" t="s">
        <v>46</v>
      </c>
      <c r="C65" s="5" t="s">
        <v>86</v>
      </c>
    </row>
    <row r="66" spans="1:3" x14ac:dyDescent="0.2">
      <c r="A66" s="1" t="s">
        <v>15</v>
      </c>
      <c r="B66" t="s">
        <v>87</v>
      </c>
      <c r="C66" s="5" t="s">
        <v>88</v>
      </c>
    </row>
    <row r="67" spans="1:3" x14ac:dyDescent="0.2">
      <c r="A67" s="1" t="s">
        <v>15</v>
      </c>
      <c r="B67" t="s">
        <v>87</v>
      </c>
      <c r="C67" s="5" t="s">
        <v>89</v>
      </c>
    </row>
    <row r="68" spans="1:3" x14ac:dyDescent="0.2">
      <c r="A68" s="3" t="s">
        <v>18</v>
      </c>
      <c r="B68" t="s">
        <v>87</v>
      </c>
      <c r="C68" s="5" t="s">
        <v>90</v>
      </c>
    </row>
    <row r="69" spans="1:3" x14ac:dyDescent="0.2">
      <c r="A69" s="3" t="s">
        <v>18</v>
      </c>
      <c r="B69" t="s">
        <v>87</v>
      </c>
      <c r="C69" s="5" t="s">
        <v>91</v>
      </c>
    </row>
    <row r="70" spans="1:3" x14ac:dyDescent="0.2">
      <c r="A70" s="1" t="s">
        <v>15</v>
      </c>
      <c r="B70" t="s">
        <v>87</v>
      </c>
      <c r="C70" s="5" t="s">
        <v>92</v>
      </c>
    </row>
    <row r="71" spans="1:3" x14ac:dyDescent="0.2">
      <c r="A71" s="1" t="s">
        <v>15</v>
      </c>
      <c r="B71" t="s">
        <v>87</v>
      </c>
      <c r="C71" s="5" t="s">
        <v>93</v>
      </c>
    </row>
    <row r="72" spans="1:3" x14ac:dyDescent="0.2">
      <c r="A72" s="3" t="s">
        <v>18</v>
      </c>
      <c r="B72" t="s">
        <v>87</v>
      </c>
      <c r="C72" s="5" t="s">
        <v>94</v>
      </c>
    </row>
    <row r="73" spans="1:3" x14ac:dyDescent="0.2">
      <c r="A73" s="3" t="s">
        <v>18</v>
      </c>
      <c r="B73" t="s">
        <v>87</v>
      </c>
      <c r="C73" s="5" t="s">
        <v>95</v>
      </c>
    </row>
    <row r="74" spans="1:3" x14ac:dyDescent="0.2">
      <c r="A74" s="3" t="s">
        <v>18</v>
      </c>
      <c r="B74" t="s">
        <v>87</v>
      </c>
      <c r="C74" s="5" t="s">
        <v>96</v>
      </c>
    </row>
    <row r="75" spans="1:3" x14ac:dyDescent="0.2">
      <c r="A75" s="3" t="s">
        <v>18</v>
      </c>
      <c r="B75" t="s">
        <v>87</v>
      </c>
      <c r="C75" s="5" t="s">
        <v>97</v>
      </c>
    </row>
    <row r="76" spans="1:3" x14ac:dyDescent="0.2">
      <c r="A76" s="1" t="s">
        <v>15</v>
      </c>
      <c r="B76" t="s">
        <v>87</v>
      </c>
      <c r="C76" s="5" t="s">
        <v>98</v>
      </c>
    </row>
    <row r="77" spans="1:3" x14ac:dyDescent="0.2">
      <c r="A77" s="1" t="s">
        <v>15</v>
      </c>
      <c r="B77" t="s">
        <v>87</v>
      </c>
      <c r="C77" s="5" t="s">
        <v>99</v>
      </c>
    </row>
    <row r="78" spans="1:3" x14ac:dyDescent="0.2">
      <c r="A78" s="3" t="s">
        <v>18</v>
      </c>
      <c r="B78" t="s">
        <v>87</v>
      </c>
      <c r="C78" s="5" t="s">
        <v>100</v>
      </c>
    </row>
    <row r="79" spans="1:3" x14ac:dyDescent="0.2">
      <c r="A79" s="3" t="s">
        <v>18</v>
      </c>
      <c r="B79" t="s">
        <v>87</v>
      </c>
      <c r="C79" s="5" t="s">
        <v>101</v>
      </c>
    </row>
    <row r="80" spans="1:3" x14ac:dyDescent="0.2">
      <c r="A80" s="3" t="s">
        <v>18</v>
      </c>
      <c r="B80" t="s">
        <v>87</v>
      </c>
      <c r="C80" s="5" t="s">
        <v>102</v>
      </c>
    </row>
    <row r="81" spans="1:4" x14ac:dyDescent="0.2">
      <c r="A81" s="4" t="s">
        <v>25</v>
      </c>
      <c r="B81" t="s">
        <v>87</v>
      </c>
      <c r="C81" s="5" t="s">
        <v>103</v>
      </c>
    </row>
    <row r="82" spans="1:4" x14ac:dyDescent="0.2">
      <c r="A82" s="3" t="s">
        <v>18</v>
      </c>
      <c r="B82" t="s">
        <v>87</v>
      </c>
      <c r="C82" s="5" t="s">
        <v>104</v>
      </c>
    </row>
    <row r="83" spans="1:4" x14ac:dyDescent="0.2">
      <c r="A83" s="1" t="s">
        <v>15</v>
      </c>
      <c r="B83" t="s">
        <v>87</v>
      </c>
      <c r="C83" s="5" t="s">
        <v>105</v>
      </c>
    </row>
    <row r="84" spans="1:4" x14ac:dyDescent="0.2">
      <c r="A84" s="4" t="s">
        <v>25</v>
      </c>
      <c r="B84" t="s">
        <v>87</v>
      </c>
      <c r="C84" s="5" t="s">
        <v>106</v>
      </c>
    </row>
    <row r="85" spans="1:4" x14ac:dyDescent="0.2">
      <c r="A85" s="4" t="s">
        <v>25</v>
      </c>
      <c r="B85" t="s">
        <v>87</v>
      </c>
      <c r="C85" s="5" t="s">
        <v>107</v>
      </c>
    </row>
    <row r="86" spans="1:4" x14ac:dyDescent="0.2">
      <c r="A86" s="4" t="s">
        <v>25</v>
      </c>
      <c r="B86" t="s">
        <v>87</v>
      </c>
      <c r="C86" s="5" t="s">
        <v>108</v>
      </c>
    </row>
    <row r="87" spans="1:4" x14ac:dyDescent="0.2">
      <c r="A87" s="4" t="s">
        <v>25</v>
      </c>
      <c r="B87" t="s">
        <v>87</v>
      </c>
      <c r="C87" s="5" t="s">
        <v>109</v>
      </c>
    </row>
    <row r="88" spans="1:4" x14ac:dyDescent="0.2">
      <c r="A88" s="2" t="s">
        <v>29</v>
      </c>
      <c r="B88" t="s">
        <v>110</v>
      </c>
      <c r="C88" s="5" t="s">
        <v>111</v>
      </c>
      <c r="D88" t="s">
        <v>370</v>
      </c>
    </row>
    <row r="89" spans="1:4" x14ac:dyDescent="0.2">
      <c r="A89" s="4" t="s">
        <v>25</v>
      </c>
      <c r="B89" t="s">
        <v>110</v>
      </c>
      <c r="C89" s="5" t="s">
        <v>112</v>
      </c>
      <c r="D89" t="s">
        <v>623</v>
      </c>
    </row>
    <row r="90" spans="1:4" x14ac:dyDescent="0.2">
      <c r="A90" s="4" t="s">
        <v>25</v>
      </c>
      <c r="B90" t="s">
        <v>110</v>
      </c>
      <c r="C90" s="5" t="s">
        <v>113</v>
      </c>
      <c r="D90">
        <v>50</v>
      </c>
    </row>
    <row r="91" spans="1:4" x14ac:dyDescent="0.2">
      <c r="A91" s="3" t="s">
        <v>18</v>
      </c>
      <c r="B91" t="s">
        <v>110</v>
      </c>
      <c r="C91" s="5" t="s">
        <v>114</v>
      </c>
      <c r="D91" t="s">
        <v>633</v>
      </c>
    </row>
    <row r="92" spans="1:4" x14ac:dyDescent="0.2">
      <c r="A92" s="3" t="s">
        <v>18</v>
      </c>
      <c r="B92" t="s">
        <v>110</v>
      </c>
      <c r="C92" s="5" t="s">
        <v>115</v>
      </c>
    </row>
    <row r="93" spans="1:4" x14ac:dyDescent="0.2">
      <c r="A93" s="3" t="s">
        <v>18</v>
      </c>
      <c r="B93" t="s">
        <v>110</v>
      </c>
      <c r="C93" s="5" t="s">
        <v>116</v>
      </c>
      <c r="D93">
        <v>4</v>
      </c>
    </row>
    <row r="94" spans="1:4" x14ac:dyDescent="0.2">
      <c r="A94" s="3" t="s">
        <v>18</v>
      </c>
      <c r="B94" t="s">
        <v>110</v>
      </c>
      <c r="C94" s="5" t="s">
        <v>117</v>
      </c>
      <c r="D94" t="s">
        <v>636</v>
      </c>
    </row>
    <row r="95" spans="1:4" x14ac:dyDescent="0.2">
      <c r="A95" s="3" t="s">
        <v>18</v>
      </c>
      <c r="B95" t="s">
        <v>110</v>
      </c>
      <c r="C95" s="5" t="s">
        <v>118</v>
      </c>
      <c r="D95">
        <v>72</v>
      </c>
    </row>
    <row r="96" spans="1:4" x14ac:dyDescent="0.2">
      <c r="A96" s="3" t="s">
        <v>18</v>
      </c>
      <c r="B96" t="s">
        <v>110</v>
      </c>
      <c r="C96" s="5" t="s">
        <v>119</v>
      </c>
      <c r="D96">
        <v>10</v>
      </c>
    </row>
    <row r="97" spans="1:4" x14ac:dyDescent="0.2">
      <c r="A97" s="4" t="s">
        <v>25</v>
      </c>
      <c r="B97" t="s">
        <v>110</v>
      </c>
      <c r="C97" s="5" t="s">
        <v>120</v>
      </c>
    </row>
    <row r="98" spans="1:4" x14ac:dyDescent="0.2">
      <c r="A98" s="3" t="s">
        <v>18</v>
      </c>
      <c r="B98" t="s">
        <v>110</v>
      </c>
      <c r="C98" s="5" t="s">
        <v>121</v>
      </c>
      <c r="D98" t="s">
        <v>637</v>
      </c>
    </row>
    <row r="99" spans="1:4" x14ac:dyDescent="0.2">
      <c r="A99" s="4" t="s">
        <v>25</v>
      </c>
      <c r="B99" t="s">
        <v>110</v>
      </c>
      <c r="C99" s="5" t="s">
        <v>122</v>
      </c>
    </row>
    <row r="100" spans="1:4" x14ac:dyDescent="0.2">
      <c r="A100" s="4" t="s">
        <v>25</v>
      </c>
      <c r="B100" t="s">
        <v>110</v>
      </c>
      <c r="C100" s="5" t="s">
        <v>123</v>
      </c>
      <c r="D100" t="s">
        <v>615</v>
      </c>
    </row>
    <row r="101" spans="1:4" x14ac:dyDescent="0.2">
      <c r="A101" s="2" t="s">
        <v>29</v>
      </c>
      <c r="B101" t="s">
        <v>110</v>
      </c>
      <c r="C101" s="5" t="s">
        <v>124</v>
      </c>
      <c r="D101" t="s">
        <v>373</v>
      </c>
    </row>
    <row r="102" spans="1:4" x14ac:dyDescent="0.2">
      <c r="A102" s="2" t="s">
        <v>29</v>
      </c>
      <c r="B102" t="s">
        <v>110</v>
      </c>
      <c r="C102" s="5" t="s">
        <v>125</v>
      </c>
    </row>
    <row r="103" spans="1:4" x14ac:dyDescent="0.2">
      <c r="A103" s="2" t="s">
        <v>29</v>
      </c>
      <c r="B103" t="s">
        <v>110</v>
      </c>
      <c r="C103" s="5" t="s">
        <v>126</v>
      </c>
      <c r="D103" t="s">
        <v>638</v>
      </c>
    </row>
    <row r="104" spans="1:4" x14ac:dyDescent="0.2">
      <c r="A104" s="3" t="s">
        <v>18</v>
      </c>
      <c r="B104" t="s">
        <v>110</v>
      </c>
      <c r="C104" s="5" t="s">
        <v>127</v>
      </c>
      <c r="D104" t="s">
        <v>389</v>
      </c>
    </row>
    <row r="105" spans="1:4" x14ac:dyDescent="0.2">
      <c r="A105" s="3" t="s">
        <v>18</v>
      </c>
      <c r="B105" t="s">
        <v>110</v>
      </c>
      <c r="C105" s="5" t="s">
        <v>128</v>
      </c>
      <c r="D105" t="s">
        <v>639</v>
      </c>
    </row>
    <row r="106" spans="1:4" x14ac:dyDescent="0.2">
      <c r="A106" s="3" t="s">
        <v>18</v>
      </c>
      <c r="B106" t="s">
        <v>110</v>
      </c>
      <c r="C106" s="5" t="s">
        <v>129</v>
      </c>
      <c r="D106" t="s">
        <v>639</v>
      </c>
    </row>
    <row r="107" spans="1:4" x14ac:dyDescent="0.2">
      <c r="A107" s="2" t="s">
        <v>29</v>
      </c>
      <c r="B107" t="s">
        <v>110</v>
      </c>
      <c r="C107" s="5" t="s">
        <v>130</v>
      </c>
      <c r="D107" t="s">
        <v>640</v>
      </c>
    </row>
    <row r="108" spans="1:4" x14ac:dyDescent="0.2">
      <c r="A108" s="3" t="s">
        <v>18</v>
      </c>
      <c r="B108" t="s">
        <v>110</v>
      </c>
      <c r="C108" s="5" t="s">
        <v>131</v>
      </c>
    </row>
    <row r="109" spans="1:4" x14ac:dyDescent="0.2">
      <c r="A109" s="4" t="s">
        <v>25</v>
      </c>
      <c r="B109" t="s">
        <v>110</v>
      </c>
      <c r="C109" s="5" t="s">
        <v>132</v>
      </c>
      <c r="D109" t="s">
        <v>641</v>
      </c>
    </row>
    <row r="110" spans="1:4" x14ac:dyDescent="0.2">
      <c r="A110" s="3" t="s">
        <v>18</v>
      </c>
      <c r="B110" t="s">
        <v>133</v>
      </c>
      <c r="C110" s="5" t="s">
        <v>134</v>
      </c>
      <c r="D110" t="s">
        <v>642</v>
      </c>
    </row>
    <row r="111" spans="1:4" x14ac:dyDescent="0.2">
      <c r="A111" s="3" t="s">
        <v>18</v>
      </c>
      <c r="B111" t="s">
        <v>133</v>
      </c>
      <c r="C111" s="5" t="s">
        <v>135</v>
      </c>
      <c r="D111" t="s">
        <v>643</v>
      </c>
    </row>
    <row r="112" spans="1:4" x14ac:dyDescent="0.2">
      <c r="A112" s="3" t="s">
        <v>18</v>
      </c>
      <c r="B112" t="s">
        <v>133</v>
      </c>
      <c r="C112" s="5" t="s">
        <v>136</v>
      </c>
      <c r="D112" t="s">
        <v>644</v>
      </c>
    </row>
    <row r="113" spans="1:4" x14ac:dyDescent="0.2">
      <c r="A113" s="3" t="s">
        <v>18</v>
      </c>
      <c r="B113" t="s">
        <v>133</v>
      </c>
      <c r="C113" s="5" t="s">
        <v>137</v>
      </c>
      <c r="D113" t="s">
        <v>645</v>
      </c>
    </row>
    <row r="114" spans="1:4" x14ac:dyDescent="0.2">
      <c r="A114" s="3" t="s">
        <v>18</v>
      </c>
      <c r="B114" t="s">
        <v>133</v>
      </c>
      <c r="C114" s="5" t="s">
        <v>138</v>
      </c>
      <c r="D114">
        <v>0</v>
      </c>
    </row>
    <row r="115" spans="1:4" x14ac:dyDescent="0.2">
      <c r="A115" s="3" t="s">
        <v>18</v>
      </c>
      <c r="B115" t="s">
        <v>133</v>
      </c>
      <c r="C115" s="5" t="s">
        <v>139</v>
      </c>
      <c r="D115" t="s">
        <v>643</v>
      </c>
    </row>
    <row r="116" spans="1:4" x14ac:dyDescent="0.2">
      <c r="A116" s="3" t="s">
        <v>18</v>
      </c>
      <c r="B116" t="s">
        <v>133</v>
      </c>
      <c r="C116" s="5" t="s">
        <v>140</v>
      </c>
      <c r="D116">
        <v>20</v>
      </c>
    </row>
    <row r="117" spans="1:4" x14ac:dyDescent="0.2">
      <c r="A117" s="3" t="s">
        <v>18</v>
      </c>
      <c r="B117" t="s">
        <v>133</v>
      </c>
      <c r="C117" s="5" t="s">
        <v>141</v>
      </c>
      <c r="D117">
        <v>90</v>
      </c>
    </row>
    <row r="118" spans="1:4" x14ac:dyDescent="0.2">
      <c r="A118" s="3" t="s">
        <v>18</v>
      </c>
      <c r="B118" t="s">
        <v>133</v>
      </c>
      <c r="C118" s="5" t="s">
        <v>142</v>
      </c>
      <c r="D118" t="s">
        <v>643</v>
      </c>
    </row>
    <row r="119" spans="1:4" x14ac:dyDescent="0.2">
      <c r="A119" s="3" t="s">
        <v>18</v>
      </c>
      <c r="B119" t="s">
        <v>133</v>
      </c>
      <c r="C119" s="5" t="s">
        <v>143</v>
      </c>
      <c r="D119" t="s">
        <v>643</v>
      </c>
    </row>
    <row r="120" spans="1:4" x14ac:dyDescent="0.2">
      <c r="A120" s="3" t="s">
        <v>18</v>
      </c>
      <c r="B120" t="s">
        <v>133</v>
      </c>
      <c r="C120" s="5" t="s">
        <v>144</v>
      </c>
      <c r="D120" t="s">
        <v>400</v>
      </c>
    </row>
    <row r="121" spans="1:4" x14ac:dyDescent="0.2">
      <c r="A121" s="3" t="s">
        <v>18</v>
      </c>
      <c r="B121" t="s">
        <v>133</v>
      </c>
      <c r="C121" s="5" t="s">
        <v>145</v>
      </c>
      <c r="D121">
        <v>30</v>
      </c>
    </row>
    <row r="122" spans="1:4" x14ac:dyDescent="0.2">
      <c r="A122" s="3" t="s">
        <v>18</v>
      </c>
      <c r="B122" t="s">
        <v>133</v>
      </c>
      <c r="C122" s="5" t="s">
        <v>146</v>
      </c>
      <c r="D122" t="s">
        <v>646</v>
      </c>
    </row>
    <row r="123" spans="1:4" x14ac:dyDescent="0.2">
      <c r="A123" s="3" t="s">
        <v>18</v>
      </c>
      <c r="B123" t="s">
        <v>133</v>
      </c>
      <c r="C123" s="5" t="s">
        <v>147</v>
      </c>
      <c r="D123" t="s">
        <v>647</v>
      </c>
    </row>
    <row r="124" spans="1:4" x14ac:dyDescent="0.2">
      <c r="A124" s="3" t="s">
        <v>18</v>
      </c>
      <c r="B124" t="s">
        <v>133</v>
      </c>
      <c r="C124" s="5" t="s">
        <v>148</v>
      </c>
      <c r="D124" t="s">
        <v>648</v>
      </c>
    </row>
    <row r="125" spans="1:4" x14ac:dyDescent="0.2">
      <c r="A125" s="3" t="s">
        <v>18</v>
      </c>
      <c r="B125" t="s">
        <v>133</v>
      </c>
      <c r="C125" s="5" t="s">
        <v>149</v>
      </c>
      <c r="D125">
        <v>100</v>
      </c>
    </row>
    <row r="126" spans="1:4" x14ac:dyDescent="0.2">
      <c r="A126" s="3" t="s">
        <v>18</v>
      </c>
      <c r="B126" t="s">
        <v>133</v>
      </c>
      <c r="C126" s="5" t="s">
        <v>150</v>
      </c>
      <c r="D126">
        <v>3</v>
      </c>
    </row>
    <row r="127" spans="1:4" x14ac:dyDescent="0.2">
      <c r="A127" s="3" t="s">
        <v>18</v>
      </c>
      <c r="B127" t="s">
        <v>133</v>
      </c>
      <c r="C127" s="5" t="s">
        <v>151</v>
      </c>
      <c r="D127" t="s">
        <v>404</v>
      </c>
    </row>
    <row r="128" spans="1:4" x14ac:dyDescent="0.2">
      <c r="A128" s="3" t="s">
        <v>18</v>
      </c>
      <c r="B128" t="s">
        <v>133</v>
      </c>
      <c r="C128" s="5" t="s">
        <v>152</v>
      </c>
      <c r="D128" t="s">
        <v>649</v>
      </c>
    </row>
    <row r="129" spans="1:4" x14ac:dyDescent="0.2">
      <c r="A129" s="2" t="s">
        <v>29</v>
      </c>
      <c r="B129" t="s">
        <v>133</v>
      </c>
      <c r="C129" s="5" t="s">
        <v>153</v>
      </c>
      <c r="D129" t="s">
        <v>650</v>
      </c>
    </row>
    <row r="130" spans="1:4" x14ac:dyDescent="0.2">
      <c r="A130" s="4" t="s">
        <v>25</v>
      </c>
      <c r="B130" t="s">
        <v>133</v>
      </c>
      <c r="C130" s="5" t="s">
        <v>154</v>
      </c>
      <c r="D130" t="s">
        <v>621</v>
      </c>
    </row>
    <row r="131" spans="1:4" x14ac:dyDescent="0.2">
      <c r="A131" s="2" t="s">
        <v>29</v>
      </c>
      <c r="B131" t="s">
        <v>133</v>
      </c>
      <c r="C131" s="5" t="s">
        <v>155</v>
      </c>
      <c r="D131" t="s">
        <v>406</v>
      </c>
    </row>
    <row r="132" spans="1:4" x14ac:dyDescent="0.2">
      <c r="A132" s="2" t="s">
        <v>29</v>
      </c>
      <c r="B132" t="s">
        <v>133</v>
      </c>
      <c r="C132" s="5" t="s">
        <v>156</v>
      </c>
      <c r="D132" t="s">
        <v>657</v>
      </c>
    </row>
    <row r="133" spans="1:4" x14ac:dyDescent="0.2">
      <c r="A133" s="3" t="s">
        <v>18</v>
      </c>
      <c r="B133" t="s">
        <v>133</v>
      </c>
      <c r="C133" s="5" t="s">
        <v>157</v>
      </c>
      <c r="D133">
        <v>98</v>
      </c>
    </row>
    <row r="134" spans="1:4" x14ac:dyDescent="0.2">
      <c r="A134" s="3" t="s">
        <v>18</v>
      </c>
      <c r="B134" t="s">
        <v>133</v>
      </c>
      <c r="C134" s="5" t="s">
        <v>158</v>
      </c>
      <c r="D134">
        <v>90</v>
      </c>
    </row>
    <row r="135" spans="1:4" x14ac:dyDescent="0.2">
      <c r="A135" s="3" t="s">
        <v>18</v>
      </c>
      <c r="B135" t="s">
        <v>133</v>
      </c>
      <c r="C135" s="5" t="s">
        <v>159</v>
      </c>
      <c r="D135" t="s">
        <v>651</v>
      </c>
    </row>
    <row r="136" spans="1:4" x14ac:dyDescent="0.2">
      <c r="A136" s="3" t="s">
        <v>18</v>
      </c>
      <c r="B136" t="s">
        <v>133</v>
      </c>
      <c r="C136" s="5" t="s">
        <v>160</v>
      </c>
      <c r="D136" t="s">
        <v>652</v>
      </c>
    </row>
    <row r="137" spans="1:4" x14ac:dyDescent="0.2">
      <c r="A137" s="2" t="s">
        <v>29</v>
      </c>
      <c r="B137" t="s">
        <v>133</v>
      </c>
      <c r="C137" s="5" t="s">
        <v>161</v>
      </c>
      <c r="D137" t="s">
        <v>653</v>
      </c>
    </row>
    <row r="138" spans="1:4" x14ac:dyDescent="0.2">
      <c r="A138" s="3" t="s">
        <v>18</v>
      </c>
      <c r="B138" t="s">
        <v>133</v>
      </c>
      <c r="C138" s="5" t="s">
        <v>162</v>
      </c>
      <c r="D138" t="s">
        <v>654</v>
      </c>
    </row>
    <row r="139" spans="1:4" x14ac:dyDescent="0.2">
      <c r="A139" s="3" t="s">
        <v>18</v>
      </c>
      <c r="B139" t="s">
        <v>133</v>
      </c>
      <c r="C139" s="5" t="s">
        <v>163</v>
      </c>
      <c r="D139" t="s">
        <v>655</v>
      </c>
    </row>
    <row r="140" spans="1:4" x14ac:dyDescent="0.2">
      <c r="A140" s="3" t="s">
        <v>18</v>
      </c>
      <c r="B140" t="s">
        <v>133</v>
      </c>
      <c r="C140" s="5" t="s">
        <v>164</v>
      </c>
    </row>
    <row r="141" spans="1:4" x14ac:dyDescent="0.2">
      <c r="A141" s="3" t="s">
        <v>18</v>
      </c>
      <c r="B141" t="s">
        <v>133</v>
      </c>
      <c r="C141" s="5" t="s">
        <v>165</v>
      </c>
    </row>
    <row r="142" spans="1:4" x14ac:dyDescent="0.2">
      <c r="A142" s="3" t="s">
        <v>18</v>
      </c>
      <c r="B142" t="s">
        <v>133</v>
      </c>
      <c r="C142" s="5" t="s">
        <v>166</v>
      </c>
      <c r="D142" t="s">
        <v>656</v>
      </c>
    </row>
    <row r="143" spans="1:4" x14ac:dyDescent="0.2">
      <c r="A143" s="4" t="s">
        <v>25</v>
      </c>
      <c r="B143" t="s">
        <v>133</v>
      </c>
      <c r="C143" s="5" t="s">
        <v>167</v>
      </c>
    </row>
  </sheetData>
  <hyperlinks>
    <hyperlink ref="D4" r:id="rId1" xr:uid="{B437ACB8-CFDB-3B46-AE9E-6329C00D6C26}"/>
  </hyperlinks>
  <pageMargins left="0.7" right="0.7" top="0.75" bottom="0.75" header="0.3" footer="0.3"/>
  <pageSetup paperSize="9" orientation="portrait" horizontalDpi="300" verticalDpi="300"/>
  <legacyDrawing r:id="rId2"/>
  <extLst>
    <ext xmlns:x14="http://schemas.microsoft.com/office/spreadsheetml/2009/9/main" uri="{CCE6A557-97BC-4b89-ADB6-D9C93CAAB3DF}">
      <x14:dataValidations xmlns:xm="http://schemas.microsoft.com/office/excel/2006/main" count="17">
        <x14:dataValidation type="list" allowBlank="1" showInputMessage="1" xr:uid="{00000000-0002-0000-0100-000000000000}">
          <x14:formula1>
            <xm:f>'Drop-down values'!E2:G2</xm:f>
          </x14:formula1>
          <xm:sqref>D11</xm:sqref>
        </x14:dataValidation>
        <x14:dataValidation type="list" allowBlank="1" showInputMessage="1" xr:uid="{00000000-0002-0000-0100-000001000000}">
          <x14:formula1>
            <xm:f>'Drop-down values'!E3:F3</xm:f>
          </x14:formula1>
          <xm:sqref>D13:D14</xm:sqref>
        </x14:dataValidation>
        <x14:dataValidation type="list" allowBlank="1" showInputMessage="1" xr:uid="{00000000-0002-0000-0100-000003000000}">
          <x14:formula1>
            <xm:f>'Drop-down values'!E22:F22</xm:f>
          </x14:formula1>
          <xm:sqref>D26:D27</xm:sqref>
        </x14:dataValidation>
        <x14:dataValidation type="list" allowBlank="1" showInputMessage="1" xr:uid="{00000000-0002-0000-0100-000005000000}">
          <x14:formula1>
            <xm:f>'Drop-down values'!E24:AG24</xm:f>
          </x14:formula1>
          <xm:sqref>D34</xm:sqref>
        </x14:dataValidation>
        <x14:dataValidation type="list" allowBlank="1" showInputMessage="1" xr:uid="{00000000-0002-0000-0100-000006000000}">
          <x14:formula1>
            <xm:f>'Drop-down values'!E25:J25</xm:f>
          </x14:formula1>
          <xm:sqref>D48</xm:sqref>
        </x14:dataValidation>
        <x14:dataValidation type="list" allowBlank="1" showInputMessage="1" xr:uid="{00000000-0002-0000-0100-000007000000}">
          <x14:formula1>
            <xm:f>'Drop-down values'!E26:J26</xm:f>
          </x14:formula1>
          <xm:sqref>D66</xm:sqref>
        </x14:dataValidation>
        <x14:dataValidation type="list" allowBlank="1" showInputMessage="1" xr:uid="{00000000-0002-0000-0100-000008000000}">
          <x14:formula1>
            <xm:f>'Drop-down values'!E27:I27</xm:f>
          </x14:formula1>
          <xm:sqref>D71</xm:sqref>
        </x14:dataValidation>
        <x14:dataValidation type="list" allowBlank="1" showInputMessage="1" xr:uid="{00000000-0002-0000-0100-000009000000}">
          <x14:formula1>
            <xm:f>'Drop-down values'!E28:I28</xm:f>
          </x14:formula1>
          <xm:sqref>D77</xm:sqref>
        </x14:dataValidation>
        <x14:dataValidation type="list" allowBlank="1" showInputMessage="1" xr:uid="{00000000-0002-0000-0100-00000A000000}">
          <x14:formula1>
            <xm:f>'Drop-down values'!E29:I29</xm:f>
          </x14:formula1>
          <xm:sqref>D80</xm:sqref>
        </x14:dataValidation>
        <x14:dataValidation type="list" allowBlank="1" showInputMessage="1" xr:uid="{00000000-0002-0000-0100-00000B000000}">
          <x14:formula1>
            <xm:f>'Drop-down values'!E30:F30</xm:f>
          </x14:formula1>
          <xm:sqref>D85:D86</xm:sqref>
        </x14:dataValidation>
        <x14:dataValidation type="list" allowBlank="1" showInputMessage="1" xr:uid="{00000000-0002-0000-0100-00000D000000}">
          <x14:formula1>
            <xm:f>'Drop-down values'!E37:H37</xm:f>
          </x14:formula1>
          <xm:sqref>D88</xm:sqref>
        </x14:dataValidation>
        <x14:dataValidation type="list" allowBlank="1" showInputMessage="1" xr:uid="{00000000-0002-0000-0100-00000E000000}">
          <x14:formula1>
            <xm:f>'Drop-down values'!E38:T38</xm:f>
          </x14:formula1>
          <xm:sqref>D101</xm:sqref>
        </x14:dataValidation>
        <x14:dataValidation type="list" allowBlank="1" showInputMessage="1" xr:uid="{00000000-0002-0000-0100-00000F000000}">
          <x14:formula1>
            <xm:f>'Drop-down values'!E39:G39</xm:f>
          </x14:formula1>
          <xm:sqref>D104</xm:sqref>
        </x14:dataValidation>
        <x14:dataValidation type="list" allowBlank="1" showInputMessage="1" xr:uid="{00000000-0002-0000-0100-000010000000}">
          <x14:formula1>
            <xm:f>'Drop-down values'!E41:H41</xm:f>
          </x14:formula1>
          <xm:sqref>D108</xm:sqref>
        </x14:dataValidation>
        <x14:dataValidation type="list" allowBlank="1" showInputMessage="1" xr:uid="{00000000-0002-0000-0100-000011000000}">
          <x14:formula1>
            <xm:f>'Drop-down values'!E42:G42</xm:f>
          </x14:formula1>
          <xm:sqref>D120</xm:sqref>
        </x14:dataValidation>
        <x14:dataValidation type="list" allowBlank="1" showInputMessage="1" xr:uid="{00000000-0002-0000-0100-000012000000}">
          <x14:formula1>
            <xm:f>'Drop-down values'!E43:G43</xm:f>
          </x14:formula1>
          <xm:sqref>D127</xm:sqref>
        </x14:dataValidation>
        <x14:dataValidation type="list" allowBlank="1" showInputMessage="1" xr:uid="{00000000-0002-0000-0100-000013000000}">
          <x14:formula1>
            <xm:f>'Drop-down values'!E44:I44</xm:f>
          </x14:formula1>
          <xm:sqref>D131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68"/>
  <sheetViews>
    <sheetView zoomScale="133" workbookViewId="0">
      <selection activeCell="H5" sqref="H5"/>
    </sheetView>
  </sheetViews>
  <sheetFormatPr baseColWidth="10" defaultRowHeight="15" x14ac:dyDescent="0.2"/>
  <sheetData>
    <row r="1" spans="1:33" x14ac:dyDescent="0.2">
      <c r="A1" t="s">
        <v>13</v>
      </c>
      <c r="B1" t="s">
        <v>168</v>
      </c>
      <c r="C1" t="s">
        <v>169</v>
      </c>
      <c r="D1" t="s">
        <v>170</v>
      </c>
      <c r="E1" t="s">
        <v>171</v>
      </c>
      <c r="F1" t="s">
        <v>172</v>
      </c>
      <c r="G1" t="s">
        <v>173</v>
      </c>
      <c r="H1" t="s">
        <v>174</v>
      </c>
      <c r="I1" t="s">
        <v>175</v>
      </c>
      <c r="J1" t="s">
        <v>176</v>
      </c>
      <c r="K1" t="s">
        <v>177</v>
      </c>
      <c r="L1" t="s">
        <v>178</v>
      </c>
      <c r="M1" t="s">
        <v>179</v>
      </c>
      <c r="N1" t="s">
        <v>180</v>
      </c>
      <c r="O1" t="s">
        <v>181</v>
      </c>
      <c r="P1" t="s">
        <v>182</v>
      </c>
      <c r="Q1" t="s">
        <v>183</v>
      </c>
      <c r="R1" t="s">
        <v>184</v>
      </c>
      <c r="S1" t="s">
        <v>185</v>
      </c>
      <c r="T1" t="s">
        <v>186</v>
      </c>
      <c r="U1" t="s">
        <v>187</v>
      </c>
      <c r="V1" t="s">
        <v>188</v>
      </c>
      <c r="W1" t="s">
        <v>189</v>
      </c>
      <c r="X1" t="s">
        <v>190</v>
      </c>
      <c r="Y1" t="s">
        <v>191</v>
      </c>
      <c r="Z1" t="s">
        <v>192</v>
      </c>
      <c r="AA1" t="s">
        <v>193</v>
      </c>
      <c r="AB1" t="s">
        <v>194</v>
      </c>
      <c r="AC1" t="s">
        <v>195</v>
      </c>
      <c r="AD1" t="s">
        <v>196</v>
      </c>
      <c r="AE1" t="s">
        <v>197</v>
      </c>
      <c r="AF1" t="s">
        <v>198</v>
      </c>
      <c r="AG1" t="s">
        <v>199</v>
      </c>
    </row>
    <row r="2" spans="1:33" x14ac:dyDescent="0.2">
      <c r="A2" t="s">
        <v>28</v>
      </c>
      <c r="B2" t="s">
        <v>200</v>
      </c>
      <c r="C2" t="s">
        <v>201</v>
      </c>
      <c r="D2">
        <v>3</v>
      </c>
      <c r="E2" t="s">
        <v>202</v>
      </c>
      <c r="F2" t="s">
        <v>203</v>
      </c>
      <c r="G2" t="s">
        <v>204</v>
      </c>
    </row>
    <row r="3" spans="1:33" x14ac:dyDescent="0.2">
      <c r="A3" t="s">
        <v>31</v>
      </c>
      <c r="B3" t="s">
        <v>205</v>
      </c>
      <c r="C3" t="s">
        <v>206</v>
      </c>
      <c r="D3">
        <v>2</v>
      </c>
      <c r="E3" t="s">
        <v>207</v>
      </c>
      <c r="F3" t="s">
        <v>208</v>
      </c>
    </row>
    <row r="4" spans="1:33" x14ac:dyDescent="0.2">
      <c r="A4" t="s">
        <v>32</v>
      </c>
      <c r="B4" t="s">
        <v>205</v>
      </c>
      <c r="C4" t="s">
        <v>206</v>
      </c>
      <c r="D4">
        <v>2</v>
      </c>
      <c r="E4" t="s">
        <v>207</v>
      </c>
      <c r="F4" t="s">
        <v>208</v>
      </c>
    </row>
    <row r="5" spans="1:33" x14ac:dyDescent="0.2">
      <c r="A5" t="s">
        <v>209</v>
      </c>
      <c r="B5" t="s">
        <v>200</v>
      </c>
      <c r="C5" t="s">
        <v>210</v>
      </c>
      <c r="D5">
        <v>5</v>
      </c>
      <c r="E5" t="s">
        <v>211</v>
      </c>
      <c r="F5" t="s">
        <v>212</v>
      </c>
      <c r="G5" t="s">
        <v>213</v>
      </c>
      <c r="H5" t="s">
        <v>214</v>
      </c>
      <c r="I5" t="s">
        <v>204</v>
      </c>
    </row>
    <row r="6" spans="1:33" x14ac:dyDescent="0.2">
      <c r="A6" t="s">
        <v>215</v>
      </c>
      <c r="B6" t="s">
        <v>200</v>
      </c>
      <c r="C6" t="s">
        <v>216</v>
      </c>
      <c r="D6">
        <v>6</v>
      </c>
      <c r="E6" t="s">
        <v>217</v>
      </c>
      <c r="F6" t="s">
        <v>218</v>
      </c>
      <c r="G6" t="s">
        <v>219</v>
      </c>
      <c r="H6" t="s">
        <v>220</v>
      </c>
      <c r="I6" t="s">
        <v>221</v>
      </c>
      <c r="J6" t="s">
        <v>204</v>
      </c>
    </row>
    <row r="7" spans="1:33" x14ac:dyDescent="0.2">
      <c r="A7" t="s">
        <v>222</v>
      </c>
      <c r="B7" t="s">
        <v>200</v>
      </c>
      <c r="C7" t="s">
        <v>223</v>
      </c>
      <c r="D7">
        <v>4</v>
      </c>
      <c r="E7" t="s">
        <v>224</v>
      </c>
      <c r="F7" t="s">
        <v>225</v>
      </c>
      <c r="G7" t="s">
        <v>226</v>
      </c>
      <c r="H7" t="s">
        <v>204</v>
      </c>
    </row>
    <row r="8" spans="1:33" x14ac:dyDescent="0.2">
      <c r="A8" t="s">
        <v>227</v>
      </c>
      <c r="B8" t="s">
        <v>200</v>
      </c>
      <c r="C8" t="s">
        <v>228</v>
      </c>
      <c r="D8">
        <v>8</v>
      </c>
      <c r="E8" t="s">
        <v>229</v>
      </c>
      <c r="F8" t="s">
        <v>230</v>
      </c>
      <c r="G8" t="s">
        <v>231</v>
      </c>
      <c r="H8" t="s">
        <v>232</v>
      </c>
      <c r="I8" t="s">
        <v>233</v>
      </c>
      <c r="J8" t="s">
        <v>234</v>
      </c>
      <c r="K8" t="s">
        <v>235</v>
      </c>
      <c r="L8" t="s">
        <v>204</v>
      </c>
    </row>
    <row r="9" spans="1:33" x14ac:dyDescent="0.2">
      <c r="A9" t="s">
        <v>236</v>
      </c>
      <c r="B9" t="s">
        <v>205</v>
      </c>
      <c r="C9" t="s">
        <v>206</v>
      </c>
      <c r="D9">
        <v>2</v>
      </c>
      <c r="E9" t="s">
        <v>207</v>
      </c>
      <c r="F9" t="s">
        <v>208</v>
      </c>
    </row>
    <row r="10" spans="1:33" x14ac:dyDescent="0.2">
      <c r="A10" t="s">
        <v>237</v>
      </c>
      <c r="B10" t="s">
        <v>200</v>
      </c>
      <c r="C10" t="s">
        <v>238</v>
      </c>
      <c r="D10">
        <v>10</v>
      </c>
      <c r="E10" t="s">
        <v>239</v>
      </c>
      <c r="F10" t="s">
        <v>240</v>
      </c>
      <c r="G10" t="s">
        <v>241</v>
      </c>
      <c r="H10" t="s">
        <v>242</v>
      </c>
      <c r="I10" t="s">
        <v>243</v>
      </c>
      <c r="J10" t="s">
        <v>244</v>
      </c>
      <c r="K10" t="s">
        <v>245</v>
      </c>
      <c r="L10" t="s">
        <v>246</v>
      </c>
      <c r="M10" t="s">
        <v>247</v>
      </c>
      <c r="N10" t="s">
        <v>204</v>
      </c>
    </row>
    <row r="11" spans="1:33" x14ac:dyDescent="0.2">
      <c r="A11" t="s">
        <v>248</v>
      </c>
      <c r="B11" t="s">
        <v>200</v>
      </c>
      <c r="C11" t="s">
        <v>249</v>
      </c>
      <c r="D11">
        <v>6</v>
      </c>
      <c r="E11" t="s">
        <v>250</v>
      </c>
      <c r="F11" t="s">
        <v>251</v>
      </c>
      <c r="G11" t="s">
        <v>252</v>
      </c>
      <c r="H11" t="s">
        <v>253</v>
      </c>
      <c r="I11" t="s">
        <v>254</v>
      </c>
      <c r="J11" t="s">
        <v>204</v>
      </c>
    </row>
    <row r="12" spans="1:33" x14ac:dyDescent="0.2">
      <c r="A12" t="s">
        <v>255</v>
      </c>
      <c r="B12" t="s">
        <v>205</v>
      </c>
      <c r="C12" t="s">
        <v>206</v>
      </c>
      <c r="D12">
        <v>2</v>
      </c>
      <c r="E12" t="s">
        <v>207</v>
      </c>
      <c r="F12" t="s">
        <v>208</v>
      </c>
    </row>
    <row r="13" spans="1:33" x14ac:dyDescent="0.2">
      <c r="A13" t="s">
        <v>256</v>
      </c>
      <c r="B13" t="s">
        <v>200</v>
      </c>
      <c r="C13" t="s">
        <v>257</v>
      </c>
      <c r="D13">
        <v>7</v>
      </c>
      <c r="E13" t="s">
        <v>258</v>
      </c>
      <c r="F13" t="s">
        <v>259</v>
      </c>
      <c r="G13" t="s">
        <v>260</v>
      </c>
      <c r="H13" t="s">
        <v>261</v>
      </c>
      <c r="I13" t="s">
        <v>262</v>
      </c>
      <c r="J13" t="s">
        <v>263</v>
      </c>
      <c r="K13" t="s">
        <v>204</v>
      </c>
    </row>
    <row r="14" spans="1:33" x14ac:dyDescent="0.2">
      <c r="A14" t="s">
        <v>264</v>
      </c>
      <c r="B14" t="s">
        <v>200</v>
      </c>
      <c r="C14" t="s">
        <v>265</v>
      </c>
      <c r="D14">
        <v>8</v>
      </c>
      <c r="E14" t="s">
        <v>266</v>
      </c>
      <c r="F14" t="s">
        <v>267</v>
      </c>
      <c r="G14" t="s">
        <v>268</v>
      </c>
      <c r="H14" t="s">
        <v>269</v>
      </c>
      <c r="I14" t="s">
        <v>270</v>
      </c>
      <c r="J14" t="s">
        <v>271</v>
      </c>
      <c r="K14" t="s">
        <v>272</v>
      </c>
      <c r="L14" t="s">
        <v>204</v>
      </c>
    </row>
    <row r="15" spans="1:33" x14ac:dyDescent="0.2">
      <c r="A15" t="s">
        <v>273</v>
      </c>
      <c r="B15" t="s">
        <v>200</v>
      </c>
      <c r="C15" t="s">
        <v>274</v>
      </c>
      <c r="D15">
        <v>4</v>
      </c>
      <c r="E15" t="s">
        <v>250</v>
      </c>
      <c r="F15" t="s">
        <v>275</v>
      </c>
      <c r="G15" t="s">
        <v>276</v>
      </c>
      <c r="H15" t="s">
        <v>204</v>
      </c>
    </row>
    <row r="16" spans="1:33" x14ac:dyDescent="0.2">
      <c r="A16" t="s">
        <v>277</v>
      </c>
      <c r="B16" t="s">
        <v>200</v>
      </c>
      <c r="C16" t="s">
        <v>249</v>
      </c>
      <c r="D16">
        <v>6</v>
      </c>
      <c r="E16" t="s">
        <v>250</v>
      </c>
      <c r="F16" t="s">
        <v>251</v>
      </c>
      <c r="G16" t="s">
        <v>252</v>
      </c>
      <c r="H16" t="s">
        <v>253</v>
      </c>
      <c r="I16" t="s">
        <v>254</v>
      </c>
      <c r="J16" t="s">
        <v>204</v>
      </c>
    </row>
    <row r="17" spans="1:33" x14ac:dyDescent="0.2">
      <c r="A17" t="s">
        <v>278</v>
      </c>
      <c r="B17" t="s">
        <v>200</v>
      </c>
      <c r="C17" t="s">
        <v>238</v>
      </c>
      <c r="D17">
        <v>10</v>
      </c>
      <c r="E17" t="s">
        <v>239</v>
      </c>
      <c r="F17" t="s">
        <v>240</v>
      </c>
      <c r="G17" t="s">
        <v>241</v>
      </c>
      <c r="H17" t="s">
        <v>242</v>
      </c>
      <c r="I17" t="s">
        <v>243</v>
      </c>
      <c r="J17" t="s">
        <v>244</v>
      </c>
      <c r="K17" t="s">
        <v>245</v>
      </c>
      <c r="L17" t="s">
        <v>246</v>
      </c>
      <c r="M17" t="s">
        <v>247</v>
      </c>
      <c r="N17" t="s">
        <v>204</v>
      </c>
    </row>
    <row r="18" spans="1:33" x14ac:dyDescent="0.2">
      <c r="A18" t="s">
        <v>279</v>
      </c>
      <c r="B18" t="s">
        <v>200</v>
      </c>
      <c r="C18" t="s">
        <v>280</v>
      </c>
      <c r="D18">
        <v>6</v>
      </c>
      <c r="E18" t="s">
        <v>281</v>
      </c>
      <c r="F18" t="s">
        <v>282</v>
      </c>
      <c r="G18" t="s">
        <v>283</v>
      </c>
      <c r="H18" t="s">
        <v>284</v>
      </c>
      <c r="I18" t="s">
        <v>285</v>
      </c>
      <c r="J18" t="s">
        <v>204</v>
      </c>
    </row>
    <row r="19" spans="1:33" x14ac:dyDescent="0.2">
      <c r="A19" t="s">
        <v>286</v>
      </c>
      <c r="B19" t="s">
        <v>200</v>
      </c>
      <c r="C19" t="s">
        <v>287</v>
      </c>
      <c r="D19">
        <v>7</v>
      </c>
      <c r="E19" t="s">
        <v>288</v>
      </c>
      <c r="F19" t="s">
        <v>289</v>
      </c>
      <c r="G19" t="s">
        <v>290</v>
      </c>
      <c r="H19" t="s">
        <v>291</v>
      </c>
      <c r="I19" t="s">
        <v>292</v>
      </c>
      <c r="J19" t="s">
        <v>293</v>
      </c>
      <c r="K19" t="s">
        <v>204</v>
      </c>
    </row>
    <row r="20" spans="1:33" x14ac:dyDescent="0.2">
      <c r="A20" t="s">
        <v>294</v>
      </c>
      <c r="B20" t="s">
        <v>205</v>
      </c>
      <c r="C20" t="s">
        <v>206</v>
      </c>
      <c r="D20">
        <v>2</v>
      </c>
      <c r="E20" t="s">
        <v>207</v>
      </c>
      <c r="F20" t="s">
        <v>208</v>
      </c>
    </row>
    <row r="21" spans="1:33" x14ac:dyDescent="0.2">
      <c r="A21" t="s">
        <v>295</v>
      </c>
      <c r="B21" t="s">
        <v>200</v>
      </c>
      <c r="C21" t="s">
        <v>296</v>
      </c>
      <c r="D21">
        <v>3</v>
      </c>
      <c r="E21" t="s">
        <v>297</v>
      </c>
      <c r="F21" t="s">
        <v>298</v>
      </c>
      <c r="G21" t="s">
        <v>204</v>
      </c>
    </row>
    <row r="22" spans="1:33" x14ac:dyDescent="0.2">
      <c r="A22" t="s">
        <v>47</v>
      </c>
      <c r="B22" t="s">
        <v>205</v>
      </c>
      <c r="C22" t="s">
        <v>206</v>
      </c>
      <c r="D22">
        <v>2</v>
      </c>
      <c r="E22" t="s">
        <v>207</v>
      </c>
      <c r="F22" t="s">
        <v>208</v>
      </c>
    </row>
    <row r="23" spans="1:33" x14ac:dyDescent="0.2">
      <c r="A23" t="s">
        <v>48</v>
      </c>
      <c r="B23" t="s">
        <v>205</v>
      </c>
      <c r="C23" t="s">
        <v>206</v>
      </c>
      <c r="D23">
        <v>2</v>
      </c>
      <c r="E23" t="s">
        <v>207</v>
      </c>
      <c r="F23" t="s">
        <v>208</v>
      </c>
    </row>
    <row r="24" spans="1:33" x14ac:dyDescent="0.2">
      <c r="A24" t="s">
        <v>55</v>
      </c>
      <c r="B24" t="s">
        <v>200</v>
      </c>
      <c r="C24" t="s">
        <v>299</v>
      </c>
      <c r="D24">
        <v>29</v>
      </c>
      <c r="E24" t="s">
        <v>300</v>
      </c>
      <c r="F24" t="s">
        <v>301</v>
      </c>
      <c r="G24" t="s">
        <v>302</v>
      </c>
      <c r="H24" t="s">
        <v>303</v>
      </c>
      <c r="I24" t="s">
        <v>304</v>
      </c>
      <c r="J24" t="s">
        <v>305</v>
      </c>
      <c r="K24" t="s">
        <v>306</v>
      </c>
      <c r="L24" t="s">
        <v>307</v>
      </c>
      <c r="M24" t="s">
        <v>308</v>
      </c>
      <c r="N24" t="s">
        <v>309</v>
      </c>
      <c r="O24" t="s">
        <v>310</v>
      </c>
      <c r="P24" t="s">
        <v>311</v>
      </c>
      <c r="Q24" t="s">
        <v>312</v>
      </c>
      <c r="R24" t="s">
        <v>313</v>
      </c>
      <c r="S24" t="s">
        <v>314</v>
      </c>
      <c r="T24" t="s">
        <v>315</v>
      </c>
      <c r="U24" t="s">
        <v>316</v>
      </c>
      <c r="V24" t="s">
        <v>317</v>
      </c>
      <c r="W24" t="s">
        <v>318</v>
      </c>
      <c r="X24" t="s">
        <v>319</v>
      </c>
      <c r="Y24" t="s">
        <v>320</v>
      </c>
      <c r="Z24" t="s">
        <v>321</v>
      </c>
      <c r="AA24" t="s">
        <v>322</v>
      </c>
      <c r="AB24" t="s">
        <v>323</v>
      </c>
      <c r="AC24" t="s">
        <v>324</v>
      </c>
      <c r="AD24" t="s">
        <v>325</v>
      </c>
      <c r="AE24" t="s">
        <v>326</v>
      </c>
      <c r="AF24" t="s">
        <v>327</v>
      </c>
      <c r="AG24" t="s">
        <v>204</v>
      </c>
    </row>
    <row r="25" spans="1:33" x14ac:dyDescent="0.2">
      <c r="A25" t="s">
        <v>69</v>
      </c>
      <c r="B25" t="s">
        <v>200</v>
      </c>
      <c r="C25" t="s">
        <v>328</v>
      </c>
      <c r="D25">
        <v>6</v>
      </c>
      <c r="E25" t="s">
        <v>329</v>
      </c>
      <c r="F25" t="s">
        <v>330</v>
      </c>
      <c r="G25" t="s">
        <v>331</v>
      </c>
      <c r="H25" t="s">
        <v>332</v>
      </c>
      <c r="I25" t="s">
        <v>333</v>
      </c>
      <c r="J25" t="s">
        <v>204</v>
      </c>
    </row>
    <row r="26" spans="1:33" x14ac:dyDescent="0.2">
      <c r="A26" t="s">
        <v>88</v>
      </c>
      <c r="B26" t="s">
        <v>200</v>
      </c>
      <c r="C26" t="s">
        <v>334</v>
      </c>
      <c r="D26">
        <v>6</v>
      </c>
      <c r="E26" t="s">
        <v>335</v>
      </c>
      <c r="F26" t="s">
        <v>336</v>
      </c>
      <c r="G26" t="s">
        <v>293</v>
      </c>
      <c r="H26" t="s">
        <v>337</v>
      </c>
      <c r="I26" t="s">
        <v>338</v>
      </c>
      <c r="J26" t="s">
        <v>204</v>
      </c>
    </row>
    <row r="27" spans="1:33" x14ac:dyDescent="0.2">
      <c r="A27" t="s">
        <v>93</v>
      </c>
      <c r="B27" t="s">
        <v>200</v>
      </c>
      <c r="C27" t="s">
        <v>339</v>
      </c>
      <c r="D27">
        <v>5</v>
      </c>
      <c r="E27" t="s">
        <v>340</v>
      </c>
      <c r="F27" t="s">
        <v>341</v>
      </c>
      <c r="G27" t="s">
        <v>342</v>
      </c>
      <c r="H27" t="s">
        <v>343</v>
      </c>
      <c r="I27" t="s">
        <v>204</v>
      </c>
    </row>
    <row r="28" spans="1:33" x14ac:dyDescent="0.2">
      <c r="A28" t="s">
        <v>99</v>
      </c>
      <c r="B28" t="s">
        <v>200</v>
      </c>
      <c r="C28" t="s">
        <v>339</v>
      </c>
      <c r="D28">
        <v>5</v>
      </c>
      <c r="E28" t="s">
        <v>340</v>
      </c>
      <c r="F28" t="s">
        <v>341</v>
      </c>
      <c r="G28" t="s">
        <v>342</v>
      </c>
      <c r="H28" t="s">
        <v>343</v>
      </c>
      <c r="I28" t="s">
        <v>204</v>
      </c>
    </row>
    <row r="29" spans="1:33" x14ac:dyDescent="0.2">
      <c r="A29" t="s">
        <v>102</v>
      </c>
      <c r="B29" t="s">
        <v>200</v>
      </c>
      <c r="C29" t="s">
        <v>344</v>
      </c>
      <c r="D29">
        <v>5</v>
      </c>
      <c r="E29" t="s">
        <v>345</v>
      </c>
      <c r="F29" t="s">
        <v>346</v>
      </c>
      <c r="G29" t="s">
        <v>347</v>
      </c>
      <c r="H29" t="s">
        <v>348</v>
      </c>
      <c r="I29" t="s">
        <v>204</v>
      </c>
    </row>
    <row r="30" spans="1:33" x14ac:dyDescent="0.2">
      <c r="A30" t="s">
        <v>107</v>
      </c>
      <c r="B30" t="s">
        <v>205</v>
      </c>
      <c r="C30" t="s">
        <v>206</v>
      </c>
      <c r="D30">
        <v>2</v>
      </c>
      <c r="E30" t="s">
        <v>207</v>
      </c>
      <c r="F30" t="s">
        <v>208</v>
      </c>
    </row>
    <row r="31" spans="1:33" x14ac:dyDescent="0.2">
      <c r="A31" t="s">
        <v>108</v>
      </c>
      <c r="B31" t="s">
        <v>205</v>
      </c>
      <c r="C31" t="s">
        <v>206</v>
      </c>
      <c r="D31">
        <v>2</v>
      </c>
      <c r="E31" t="s">
        <v>207</v>
      </c>
      <c r="F31" t="s">
        <v>208</v>
      </c>
    </row>
    <row r="32" spans="1:33" x14ac:dyDescent="0.2">
      <c r="A32" t="s">
        <v>349</v>
      </c>
      <c r="B32" t="s">
        <v>200</v>
      </c>
      <c r="C32" t="s">
        <v>350</v>
      </c>
      <c r="D32">
        <v>7</v>
      </c>
      <c r="E32" t="s">
        <v>340</v>
      </c>
      <c r="F32" t="s">
        <v>351</v>
      </c>
      <c r="G32" t="s">
        <v>352</v>
      </c>
      <c r="H32" t="s">
        <v>342</v>
      </c>
      <c r="I32" t="s">
        <v>353</v>
      </c>
      <c r="J32" t="s">
        <v>354</v>
      </c>
      <c r="K32" t="s">
        <v>204</v>
      </c>
    </row>
    <row r="33" spans="1:20" x14ac:dyDescent="0.2">
      <c r="A33" t="s">
        <v>355</v>
      </c>
      <c r="B33" t="s">
        <v>200</v>
      </c>
      <c r="C33" t="s">
        <v>356</v>
      </c>
      <c r="D33">
        <v>5</v>
      </c>
      <c r="E33" t="s">
        <v>357</v>
      </c>
      <c r="F33" t="s">
        <v>358</v>
      </c>
      <c r="G33" t="s">
        <v>359</v>
      </c>
      <c r="H33" t="s">
        <v>360</v>
      </c>
      <c r="I33" t="s">
        <v>204</v>
      </c>
    </row>
    <row r="34" spans="1:20" x14ac:dyDescent="0.2">
      <c r="A34" t="s">
        <v>361</v>
      </c>
      <c r="B34" t="s">
        <v>200</v>
      </c>
      <c r="C34" t="s">
        <v>350</v>
      </c>
      <c r="D34">
        <v>7</v>
      </c>
      <c r="E34" t="s">
        <v>340</v>
      </c>
      <c r="F34" t="s">
        <v>351</v>
      </c>
      <c r="G34" t="s">
        <v>352</v>
      </c>
      <c r="H34" t="s">
        <v>342</v>
      </c>
      <c r="I34" t="s">
        <v>353</v>
      </c>
      <c r="J34" t="s">
        <v>354</v>
      </c>
      <c r="K34" t="s">
        <v>204</v>
      </c>
    </row>
    <row r="35" spans="1:20" x14ac:dyDescent="0.2">
      <c r="A35" t="s">
        <v>362</v>
      </c>
      <c r="B35" t="s">
        <v>200</v>
      </c>
      <c r="C35" t="s">
        <v>363</v>
      </c>
      <c r="D35">
        <v>4</v>
      </c>
      <c r="E35" t="s">
        <v>364</v>
      </c>
      <c r="F35" t="s">
        <v>365</v>
      </c>
      <c r="G35" t="s">
        <v>366</v>
      </c>
      <c r="H35" t="s">
        <v>204</v>
      </c>
    </row>
    <row r="36" spans="1:20" x14ac:dyDescent="0.2">
      <c r="A36" t="s">
        <v>367</v>
      </c>
      <c r="B36" t="s">
        <v>205</v>
      </c>
      <c r="C36" t="s">
        <v>206</v>
      </c>
      <c r="D36">
        <v>2</v>
      </c>
      <c r="E36" t="s">
        <v>207</v>
      </c>
      <c r="F36" t="s">
        <v>208</v>
      </c>
    </row>
    <row r="37" spans="1:20" x14ac:dyDescent="0.2">
      <c r="A37" t="s">
        <v>111</v>
      </c>
      <c r="B37" t="s">
        <v>200</v>
      </c>
      <c r="C37" t="s">
        <v>368</v>
      </c>
      <c r="D37">
        <v>4</v>
      </c>
      <c r="E37" t="s">
        <v>369</v>
      </c>
      <c r="F37" t="s">
        <v>370</v>
      </c>
      <c r="G37" t="s">
        <v>371</v>
      </c>
      <c r="H37" t="s">
        <v>204</v>
      </c>
    </row>
    <row r="38" spans="1:20" x14ac:dyDescent="0.2">
      <c r="A38" t="s">
        <v>124</v>
      </c>
      <c r="B38" t="s">
        <v>200</v>
      </c>
      <c r="C38" t="s">
        <v>372</v>
      </c>
      <c r="D38">
        <v>16</v>
      </c>
      <c r="E38" t="s">
        <v>373</v>
      </c>
      <c r="F38" t="s">
        <v>374</v>
      </c>
      <c r="G38" t="s">
        <v>375</v>
      </c>
      <c r="H38" t="s">
        <v>376</v>
      </c>
      <c r="I38" t="s">
        <v>377</v>
      </c>
      <c r="J38" t="s">
        <v>378</v>
      </c>
      <c r="K38" t="s">
        <v>379</v>
      </c>
      <c r="L38" t="s">
        <v>380</v>
      </c>
      <c r="M38" t="s">
        <v>381</v>
      </c>
      <c r="N38" t="s">
        <v>382</v>
      </c>
      <c r="O38" t="s">
        <v>383</v>
      </c>
      <c r="P38" t="s">
        <v>384</v>
      </c>
      <c r="Q38" t="s">
        <v>385</v>
      </c>
      <c r="R38" t="s">
        <v>386</v>
      </c>
      <c r="S38" t="s">
        <v>387</v>
      </c>
      <c r="T38" t="s">
        <v>204</v>
      </c>
    </row>
    <row r="39" spans="1:20" x14ac:dyDescent="0.2">
      <c r="A39" t="s">
        <v>127</v>
      </c>
      <c r="B39" t="s">
        <v>200</v>
      </c>
      <c r="C39" t="s">
        <v>388</v>
      </c>
      <c r="D39">
        <v>3</v>
      </c>
      <c r="E39" t="s">
        <v>389</v>
      </c>
      <c r="F39" t="s">
        <v>390</v>
      </c>
      <c r="G39" t="s">
        <v>204</v>
      </c>
    </row>
    <row r="40" spans="1:20" x14ac:dyDescent="0.2">
      <c r="A40" t="s">
        <v>391</v>
      </c>
      <c r="B40" t="s">
        <v>200</v>
      </c>
      <c r="C40" t="s">
        <v>392</v>
      </c>
      <c r="D40">
        <v>4</v>
      </c>
      <c r="E40" t="s">
        <v>343</v>
      </c>
      <c r="F40" t="s">
        <v>393</v>
      </c>
      <c r="G40" t="s">
        <v>394</v>
      </c>
      <c r="H40" t="s">
        <v>204</v>
      </c>
    </row>
    <row r="41" spans="1:20" x14ac:dyDescent="0.2">
      <c r="A41" t="s">
        <v>131</v>
      </c>
      <c r="B41" t="s">
        <v>200</v>
      </c>
      <c r="C41" t="s">
        <v>395</v>
      </c>
      <c r="D41">
        <v>4</v>
      </c>
      <c r="E41" t="s">
        <v>396</v>
      </c>
      <c r="F41" t="s">
        <v>397</v>
      </c>
      <c r="G41" t="s">
        <v>398</v>
      </c>
      <c r="H41" t="s">
        <v>204</v>
      </c>
    </row>
    <row r="42" spans="1:20" x14ac:dyDescent="0.2">
      <c r="A42" t="s">
        <v>144</v>
      </c>
      <c r="B42" t="s">
        <v>200</v>
      </c>
      <c r="C42" t="s">
        <v>399</v>
      </c>
      <c r="D42">
        <v>3</v>
      </c>
      <c r="E42" t="s">
        <v>400</v>
      </c>
      <c r="F42" t="s">
        <v>401</v>
      </c>
      <c r="G42" t="s">
        <v>204</v>
      </c>
    </row>
    <row r="43" spans="1:20" x14ac:dyDescent="0.2">
      <c r="A43" t="s">
        <v>151</v>
      </c>
      <c r="B43" t="s">
        <v>200</v>
      </c>
      <c r="C43" t="s">
        <v>402</v>
      </c>
      <c r="D43">
        <v>3</v>
      </c>
      <c r="E43" t="s">
        <v>403</v>
      </c>
      <c r="F43" t="s">
        <v>404</v>
      </c>
      <c r="G43" t="s">
        <v>204</v>
      </c>
    </row>
    <row r="44" spans="1:20" x14ac:dyDescent="0.2">
      <c r="A44" t="s">
        <v>155</v>
      </c>
      <c r="B44" t="s">
        <v>200</v>
      </c>
      <c r="C44" t="s">
        <v>405</v>
      </c>
      <c r="D44">
        <v>5</v>
      </c>
      <c r="E44" t="s">
        <v>406</v>
      </c>
      <c r="F44" t="s">
        <v>407</v>
      </c>
      <c r="G44" t="s">
        <v>408</v>
      </c>
      <c r="H44" t="s">
        <v>409</v>
      </c>
      <c r="I44" t="s">
        <v>204</v>
      </c>
    </row>
    <row r="45" spans="1:20" x14ac:dyDescent="0.2">
      <c r="A45" t="s">
        <v>410</v>
      </c>
      <c r="B45" t="s">
        <v>200</v>
      </c>
      <c r="C45" t="s">
        <v>411</v>
      </c>
      <c r="D45">
        <v>8</v>
      </c>
      <c r="E45" t="s">
        <v>412</v>
      </c>
      <c r="F45" t="s">
        <v>413</v>
      </c>
      <c r="G45" t="s">
        <v>414</v>
      </c>
      <c r="H45" t="s">
        <v>415</v>
      </c>
      <c r="I45" t="s">
        <v>416</v>
      </c>
      <c r="J45" t="s">
        <v>417</v>
      </c>
      <c r="K45" t="s">
        <v>418</v>
      </c>
      <c r="L45" t="s">
        <v>204</v>
      </c>
    </row>
    <row r="46" spans="1:20" x14ac:dyDescent="0.2">
      <c r="A46" t="s">
        <v>419</v>
      </c>
      <c r="B46" t="s">
        <v>200</v>
      </c>
      <c r="C46" t="s">
        <v>420</v>
      </c>
      <c r="D46">
        <v>4</v>
      </c>
      <c r="E46" t="s">
        <v>241</v>
      </c>
      <c r="F46" t="s">
        <v>242</v>
      </c>
      <c r="G46" t="s">
        <v>243</v>
      </c>
      <c r="H46" t="s">
        <v>204</v>
      </c>
    </row>
    <row r="47" spans="1:20" x14ac:dyDescent="0.2">
      <c r="A47" t="s">
        <v>421</v>
      </c>
      <c r="B47" t="s">
        <v>200</v>
      </c>
      <c r="C47" t="s">
        <v>422</v>
      </c>
      <c r="D47">
        <v>4</v>
      </c>
      <c r="E47" t="s">
        <v>423</v>
      </c>
      <c r="F47" t="s">
        <v>424</v>
      </c>
      <c r="G47" t="s">
        <v>425</v>
      </c>
      <c r="H47" t="s">
        <v>204</v>
      </c>
    </row>
    <row r="48" spans="1:20" x14ac:dyDescent="0.2">
      <c r="A48" t="s">
        <v>426</v>
      </c>
      <c r="B48" t="s">
        <v>200</v>
      </c>
      <c r="C48" t="s">
        <v>422</v>
      </c>
      <c r="D48">
        <v>4</v>
      </c>
      <c r="E48" t="s">
        <v>423</v>
      </c>
      <c r="F48" t="s">
        <v>424</v>
      </c>
      <c r="G48" t="s">
        <v>425</v>
      </c>
      <c r="H48" t="s">
        <v>204</v>
      </c>
    </row>
    <row r="49" spans="1:19" x14ac:dyDescent="0.2">
      <c r="A49" t="s">
        <v>427</v>
      </c>
      <c r="B49" t="s">
        <v>200</v>
      </c>
      <c r="C49" t="s">
        <v>428</v>
      </c>
      <c r="D49">
        <v>13</v>
      </c>
      <c r="E49" t="s">
        <v>429</v>
      </c>
      <c r="F49" t="s">
        <v>430</v>
      </c>
      <c r="G49" t="s">
        <v>431</v>
      </c>
      <c r="H49" t="s">
        <v>432</v>
      </c>
      <c r="I49" t="s">
        <v>433</v>
      </c>
      <c r="J49" t="s">
        <v>434</v>
      </c>
      <c r="K49" t="s">
        <v>435</v>
      </c>
      <c r="L49" t="s">
        <v>436</v>
      </c>
      <c r="M49" t="s">
        <v>437</v>
      </c>
      <c r="N49" t="s">
        <v>438</v>
      </c>
      <c r="O49" t="s">
        <v>439</v>
      </c>
      <c r="P49" t="s">
        <v>440</v>
      </c>
      <c r="Q49" t="s">
        <v>204</v>
      </c>
    </row>
    <row r="50" spans="1:19" x14ac:dyDescent="0.2">
      <c r="A50" t="s">
        <v>441</v>
      </c>
      <c r="B50" t="s">
        <v>200</v>
      </c>
      <c r="C50" t="s">
        <v>428</v>
      </c>
      <c r="D50">
        <v>13</v>
      </c>
      <c r="E50" t="s">
        <v>429</v>
      </c>
      <c r="F50" t="s">
        <v>430</v>
      </c>
      <c r="G50" t="s">
        <v>431</v>
      </c>
      <c r="H50" t="s">
        <v>432</v>
      </c>
      <c r="I50" t="s">
        <v>433</v>
      </c>
      <c r="J50" t="s">
        <v>434</v>
      </c>
      <c r="K50" t="s">
        <v>435</v>
      </c>
      <c r="L50" t="s">
        <v>436</v>
      </c>
      <c r="M50" t="s">
        <v>437</v>
      </c>
      <c r="N50" t="s">
        <v>438</v>
      </c>
      <c r="O50" t="s">
        <v>439</v>
      </c>
      <c r="P50" t="s">
        <v>440</v>
      </c>
      <c r="Q50" t="s">
        <v>204</v>
      </c>
    </row>
    <row r="51" spans="1:19" x14ac:dyDescent="0.2">
      <c r="A51" t="s">
        <v>442</v>
      </c>
      <c r="B51" t="s">
        <v>200</v>
      </c>
      <c r="C51" t="s">
        <v>428</v>
      </c>
      <c r="D51">
        <v>13</v>
      </c>
      <c r="E51" t="s">
        <v>429</v>
      </c>
      <c r="F51" t="s">
        <v>430</v>
      </c>
      <c r="G51" t="s">
        <v>431</v>
      </c>
      <c r="H51" t="s">
        <v>432</v>
      </c>
      <c r="I51" t="s">
        <v>433</v>
      </c>
      <c r="J51" t="s">
        <v>434</v>
      </c>
      <c r="K51" t="s">
        <v>435</v>
      </c>
      <c r="L51" t="s">
        <v>436</v>
      </c>
      <c r="M51" t="s">
        <v>437</v>
      </c>
      <c r="N51" t="s">
        <v>438</v>
      </c>
      <c r="O51" t="s">
        <v>439</v>
      </c>
      <c r="P51" t="s">
        <v>440</v>
      </c>
      <c r="Q51" t="s">
        <v>204</v>
      </c>
    </row>
    <row r="52" spans="1:19" x14ac:dyDescent="0.2">
      <c r="A52" t="s">
        <v>443</v>
      </c>
      <c r="B52" t="s">
        <v>200</v>
      </c>
      <c r="C52" t="s">
        <v>428</v>
      </c>
      <c r="D52">
        <v>13</v>
      </c>
      <c r="E52" t="s">
        <v>429</v>
      </c>
      <c r="F52" t="s">
        <v>430</v>
      </c>
      <c r="G52" t="s">
        <v>431</v>
      </c>
      <c r="H52" t="s">
        <v>432</v>
      </c>
      <c r="I52" t="s">
        <v>433</v>
      </c>
      <c r="J52" t="s">
        <v>434</v>
      </c>
      <c r="K52" t="s">
        <v>435</v>
      </c>
      <c r="L52" t="s">
        <v>436</v>
      </c>
      <c r="M52" t="s">
        <v>437</v>
      </c>
      <c r="N52" t="s">
        <v>438</v>
      </c>
      <c r="O52" t="s">
        <v>439</v>
      </c>
      <c r="P52" t="s">
        <v>440</v>
      </c>
      <c r="Q52" t="s">
        <v>204</v>
      </c>
    </row>
    <row r="53" spans="1:19" x14ac:dyDescent="0.2">
      <c r="A53" t="s">
        <v>444</v>
      </c>
      <c r="B53" t="s">
        <v>200</v>
      </c>
      <c r="C53" t="s">
        <v>445</v>
      </c>
      <c r="D53">
        <v>15</v>
      </c>
      <c r="E53" t="s">
        <v>436</v>
      </c>
      <c r="F53" t="s">
        <v>437</v>
      </c>
      <c r="G53" t="s">
        <v>429</v>
      </c>
      <c r="H53" t="s">
        <v>430</v>
      </c>
      <c r="I53" t="s">
        <v>431</v>
      </c>
      <c r="J53" t="s">
        <v>432</v>
      </c>
      <c r="K53" t="s">
        <v>433</v>
      </c>
      <c r="L53" t="s">
        <v>434</v>
      </c>
      <c r="M53" t="s">
        <v>435</v>
      </c>
      <c r="N53" t="s">
        <v>436</v>
      </c>
      <c r="O53" t="s">
        <v>437</v>
      </c>
      <c r="P53" t="s">
        <v>446</v>
      </c>
      <c r="Q53" t="s">
        <v>439</v>
      </c>
      <c r="R53" t="s">
        <v>440</v>
      </c>
      <c r="S53" t="s">
        <v>204</v>
      </c>
    </row>
    <row r="54" spans="1:19" x14ac:dyDescent="0.2">
      <c r="A54" t="s">
        <v>447</v>
      </c>
      <c r="B54" t="s">
        <v>200</v>
      </c>
      <c r="C54" t="s">
        <v>428</v>
      </c>
      <c r="D54">
        <v>13</v>
      </c>
      <c r="E54" t="s">
        <v>429</v>
      </c>
      <c r="F54" t="s">
        <v>430</v>
      </c>
      <c r="G54" t="s">
        <v>431</v>
      </c>
      <c r="H54" t="s">
        <v>432</v>
      </c>
      <c r="I54" t="s">
        <v>433</v>
      </c>
      <c r="J54" t="s">
        <v>434</v>
      </c>
      <c r="K54" t="s">
        <v>435</v>
      </c>
      <c r="L54" t="s">
        <v>436</v>
      </c>
      <c r="M54" t="s">
        <v>437</v>
      </c>
      <c r="N54" t="s">
        <v>438</v>
      </c>
      <c r="O54" t="s">
        <v>439</v>
      </c>
      <c r="P54" t="s">
        <v>440</v>
      </c>
      <c r="Q54" t="s">
        <v>204</v>
      </c>
    </row>
    <row r="55" spans="1:19" x14ac:dyDescent="0.2">
      <c r="A55" t="s">
        <v>448</v>
      </c>
      <c r="B55" t="s">
        <v>200</v>
      </c>
      <c r="C55" t="s">
        <v>428</v>
      </c>
      <c r="D55">
        <v>13</v>
      </c>
      <c r="E55" t="s">
        <v>429</v>
      </c>
      <c r="F55" t="s">
        <v>430</v>
      </c>
      <c r="G55" t="s">
        <v>431</v>
      </c>
      <c r="H55" t="s">
        <v>432</v>
      </c>
      <c r="I55" t="s">
        <v>433</v>
      </c>
      <c r="J55" t="s">
        <v>434</v>
      </c>
      <c r="K55" t="s">
        <v>435</v>
      </c>
      <c r="L55" t="s">
        <v>436</v>
      </c>
      <c r="M55" t="s">
        <v>437</v>
      </c>
      <c r="N55" t="s">
        <v>438</v>
      </c>
      <c r="O55" t="s">
        <v>439</v>
      </c>
      <c r="P55" t="s">
        <v>440</v>
      </c>
      <c r="Q55" t="s">
        <v>204</v>
      </c>
    </row>
    <row r="56" spans="1:19" x14ac:dyDescent="0.2">
      <c r="A56" t="s">
        <v>449</v>
      </c>
      <c r="B56" t="s">
        <v>200</v>
      </c>
      <c r="C56" t="s">
        <v>428</v>
      </c>
      <c r="D56">
        <v>13</v>
      </c>
      <c r="E56" t="s">
        <v>429</v>
      </c>
      <c r="F56" t="s">
        <v>430</v>
      </c>
      <c r="G56" t="s">
        <v>431</v>
      </c>
      <c r="H56" t="s">
        <v>432</v>
      </c>
      <c r="I56" t="s">
        <v>433</v>
      </c>
      <c r="J56" t="s">
        <v>434</v>
      </c>
      <c r="K56" t="s">
        <v>435</v>
      </c>
      <c r="L56" t="s">
        <v>436</v>
      </c>
      <c r="M56" t="s">
        <v>437</v>
      </c>
      <c r="N56" t="s">
        <v>438</v>
      </c>
      <c r="O56" t="s">
        <v>439</v>
      </c>
      <c r="P56" t="s">
        <v>440</v>
      </c>
      <c r="Q56" t="s">
        <v>204</v>
      </c>
    </row>
    <row r="57" spans="1:19" x14ac:dyDescent="0.2">
      <c r="A57" t="s">
        <v>450</v>
      </c>
      <c r="B57" t="s">
        <v>200</v>
      </c>
      <c r="C57" t="s">
        <v>428</v>
      </c>
      <c r="D57">
        <v>13</v>
      </c>
      <c r="E57" t="s">
        <v>429</v>
      </c>
      <c r="F57" t="s">
        <v>430</v>
      </c>
      <c r="G57" t="s">
        <v>431</v>
      </c>
      <c r="H57" t="s">
        <v>432</v>
      </c>
      <c r="I57" t="s">
        <v>433</v>
      </c>
      <c r="J57" t="s">
        <v>434</v>
      </c>
      <c r="K57" t="s">
        <v>435</v>
      </c>
      <c r="L57" t="s">
        <v>436</v>
      </c>
      <c r="M57" t="s">
        <v>437</v>
      </c>
      <c r="N57" t="s">
        <v>438</v>
      </c>
      <c r="O57" t="s">
        <v>439</v>
      </c>
      <c r="P57" t="s">
        <v>440</v>
      </c>
      <c r="Q57" t="s">
        <v>204</v>
      </c>
    </row>
    <row r="58" spans="1:19" x14ac:dyDescent="0.2">
      <c r="A58" t="s">
        <v>451</v>
      </c>
      <c r="B58" t="s">
        <v>200</v>
      </c>
      <c r="C58" t="s">
        <v>428</v>
      </c>
      <c r="D58">
        <v>13</v>
      </c>
      <c r="E58" t="s">
        <v>429</v>
      </c>
      <c r="F58" t="s">
        <v>430</v>
      </c>
      <c r="G58" t="s">
        <v>431</v>
      </c>
      <c r="H58" t="s">
        <v>432</v>
      </c>
      <c r="I58" t="s">
        <v>433</v>
      </c>
      <c r="J58" t="s">
        <v>434</v>
      </c>
      <c r="K58" t="s">
        <v>435</v>
      </c>
      <c r="L58" t="s">
        <v>436</v>
      </c>
      <c r="M58" t="s">
        <v>437</v>
      </c>
      <c r="N58" t="s">
        <v>438</v>
      </c>
      <c r="O58" t="s">
        <v>439</v>
      </c>
      <c r="P58" t="s">
        <v>440</v>
      </c>
      <c r="Q58" t="s">
        <v>204</v>
      </c>
    </row>
    <row r="59" spans="1:19" x14ac:dyDescent="0.2">
      <c r="A59" t="s">
        <v>452</v>
      </c>
      <c r="B59" t="s">
        <v>200</v>
      </c>
      <c r="C59" t="s">
        <v>428</v>
      </c>
      <c r="D59">
        <v>13</v>
      </c>
      <c r="E59" t="s">
        <v>429</v>
      </c>
      <c r="F59" t="s">
        <v>430</v>
      </c>
      <c r="G59" t="s">
        <v>431</v>
      </c>
      <c r="H59" t="s">
        <v>432</v>
      </c>
      <c r="I59" t="s">
        <v>433</v>
      </c>
      <c r="J59" t="s">
        <v>434</v>
      </c>
      <c r="K59" t="s">
        <v>435</v>
      </c>
      <c r="L59" t="s">
        <v>436</v>
      </c>
      <c r="M59" t="s">
        <v>437</v>
      </c>
      <c r="N59" t="s">
        <v>438</v>
      </c>
      <c r="O59" t="s">
        <v>439</v>
      </c>
      <c r="P59" t="s">
        <v>440</v>
      </c>
      <c r="Q59" t="s">
        <v>204</v>
      </c>
    </row>
    <row r="60" spans="1:19" x14ac:dyDescent="0.2">
      <c r="A60" t="s">
        <v>453</v>
      </c>
      <c r="B60" t="s">
        <v>200</v>
      </c>
      <c r="C60" t="s">
        <v>428</v>
      </c>
      <c r="D60">
        <v>13</v>
      </c>
      <c r="E60" t="s">
        <v>429</v>
      </c>
      <c r="F60" t="s">
        <v>430</v>
      </c>
      <c r="G60" t="s">
        <v>431</v>
      </c>
      <c r="H60" t="s">
        <v>432</v>
      </c>
      <c r="I60" t="s">
        <v>433</v>
      </c>
      <c r="J60" t="s">
        <v>434</v>
      </c>
      <c r="K60" t="s">
        <v>435</v>
      </c>
      <c r="L60" t="s">
        <v>436</v>
      </c>
      <c r="M60" t="s">
        <v>437</v>
      </c>
      <c r="N60" t="s">
        <v>438</v>
      </c>
      <c r="O60" t="s">
        <v>439</v>
      </c>
      <c r="P60" t="s">
        <v>440</v>
      </c>
      <c r="Q60" t="s">
        <v>204</v>
      </c>
    </row>
    <row r="61" spans="1:19" x14ac:dyDescent="0.2">
      <c r="A61" t="s">
        <v>454</v>
      </c>
      <c r="B61" t="s">
        <v>200</v>
      </c>
      <c r="C61" t="s">
        <v>428</v>
      </c>
      <c r="D61">
        <v>13</v>
      </c>
      <c r="E61" t="s">
        <v>429</v>
      </c>
      <c r="F61" t="s">
        <v>430</v>
      </c>
      <c r="G61" t="s">
        <v>431</v>
      </c>
      <c r="H61" t="s">
        <v>432</v>
      </c>
      <c r="I61" t="s">
        <v>433</v>
      </c>
      <c r="J61" t="s">
        <v>434</v>
      </c>
      <c r="K61" t="s">
        <v>435</v>
      </c>
      <c r="L61" t="s">
        <v>436</v>
      </c>
      <c r="M61" t="s">
        <v>437</v>
      </c>
      <c r="N61" t="s">
        <v>438</v>
      </c>
      <c r="O61" t="s">
        <v>439</v>
      </c>
      <c r="P61" t="s">
        <v>440</v>
      </c>
      <c r="Q61" t="s">
        <v>204</v>
      </c>
    </row>
    <row r="62" spans="1:19" x14ac:dyDescent="0.2">
      <c r="A62" t="s">
        <v>455</v>
      </c>
      <c r="B62" t="s">
        <v>200</v>
      </c>
      <c r="C62" t="s">
        <v>428</v>
      </c>
      <c r="D62">
        <v>13</v>
      </c>
      <c r="E62" t="s">
        <v>429</v>
      </c>
      <c r="F62" t="s">
        <v>430</v>
      </c>
      <c r="G62" t="s">
        <v>431</v>
      </c>
      <c r="H62" t="s">
        <v>432</v>
      </c>
      <c r="I62" t="s">
        <v>433</v>
      </c>
      <c r="J62" t="s">
        <v>434</v>
      </c>
      <c r="K62" t="s">
        <v>435</v>
      </c>
      <c r="L62" t="s">
        <v>436</v>
      </c>
      <c r="M62" t="s">
        <v>437</v>
      </c>
      <c r="N62" t="s">
        <v>438</v>
      </c>
      <c r="O62" t="s">
        <v>439</v>
      </c>
      <c r="P62" t="s">
        <v>440</v>
      </c>
      <c r="Q62" t="s">
        <v>204</v>
      </c>
    </row>
    <row r="63" spans="1:19" x14ac:dyDescent="0.2">
      <c r="A63" t="s">
        <v>456</v>
      </c>
      <c r="B63" t="s">
        <v>200</v>
      </c>
      <c r="C63" t="s">
        <v>428</v>
      </c>
      <c r="D63">
        <v>13</v>
      </c>
      <c r="E63" t="s">
        <v>429</v>
      </c>
      <c r="F63" t="s">
        <v>430</v>
      </c>
      <c r="G63" t="s">
        <v>431</v>
      </c>
      <c r="H63" t="s">
        <v>432</v>
      </c>
      <c r="I63" t="s">
        <v>433</v>
      </c>
      <c r="J63" t="s">
        <v>434</v>
      </c>
      <c r="K63" t="s">
        <v>435</v>
      </c>
      <c r="L63" t="s">
        <v>436</v>
      </c>
      <c r="M63" t="s">
        <v>437</v>
      </c>
      <c r="N63" t="s">
        <v>438</v>
      </c>
      <c r="O63" t="s">
        <v>439</v>
      </c>
      <c r="P63" t="s">
        <v>440</v>
      </c>
      <c r="Q63" t="s">
        <v>204</v>
      </c>
    </row>
    <row r="64" spans="1:19" x14ac:dyDescent="0.2">
      <c r="A64" t="s">
        <v>457</v>
      </c>
      <c r="B64" t="s">
        <v>200</v>
      </c>
      <c r="C64" t="s">
        <v>428</v>
      </c>
      <c r="D64">
        <v>13</v>
      </c>
      <c r="E64" t="s">
        <v>429</v>
      </c>
      <c r="F64" t="s">
        <v>430</v>
      </c>
      <c r="G64" t="s">
        <v>431</v>
      </c>
      <c r="H64" t="s">
        <v>432</v>
      </c>
      <c r="I64" t="s">
        <v>433</v>
      </c>
      <c r="J64" t="s">
        <v>434</v>
      </c>
      <c r="K64" t="s">
        <v>435</v>
      </c>
      <c r="L64" t="s">
        <v>436</v>
      </c>
      <c r="M64" t="s">
        <v>437</v>
      </c>
      <c r="N64" t="s">
        <v>438</v>
      </c>
      <c r="O64" t="s">
        <v>439</v>
      </c>
      <c r="P64" t="s">
        <v>440</v>
      </c>
      <c r="Q64" t="s">
        <v>204</v>
      </c>
    </row>
    <row r="65" spans="1:17" x14ac:dyDescent="0.2">
      <c r="A65" t="s">
        <v>458</v>
      </c>
      <c r="B65" t="s">
        <v>200</v>
      </c>
      <c r="C65" t="s">
        <v>428</v>
      </c>
      <c r="D65">
        <v>13</v>
      </c>
      <c r="E65" t="s">
        <v>429</v>
      </c>
      <c r="F65" t="s">
        <v>430</v>
      </c>
      <c r="G65" t="s">
        <v>431</v>
      </c>
      <c r="H65" t="s">
        <v>432</v>
      </c>
      <c r="I65" t="s">
        <v>433</v>
      </c>
      <c r="J65" t="s">
        <v>434</v>
      </c>
      <c r="K65" t="s">
        <v>435</v>
      </c>
      <c r="L65" t="s">
        <v>436</v>
      </c>
      <c r="M65" t="s">
        <v>437</v>
      </c>
      <c r="N65" t="s">
        <v>438</v>
      </c>
      <c r="O65" t="s">
        <v>439</v>
      </c>
      <c r="P65" t="s">
        <v>440</v>
      </c>
      <c r="Q65" t="s">
        <v>204</v>
      </c>
    </row>
    <row r="66" spans="1:17" x14ac:dyDescent="0.2">
      <c r="A66" t="s">
        <v>459</v>
      </c>
      <c r="B66" t="s">
        <v>200</v>
      </c>
      <c r="C66" t="s">
        <v>428</v>
      </c>
      <c r="D66">
        <v>13</v>
      </c>
      <c r="E66" t="s">
        <v>429</v>
      </c>
      <c r="F66" t="s">
        <v>430</v>
      </c>
      <c r="G66" t="s">
        <v>431</v>
      </c>
      <c r="H66" t="s">
        <v>432</v>
      </c>
      <c r="I66" t="s">
        <v>433</v>
      </c>
      <c r="J66" t="s">
        <v>434</v>
      </c>
      <c r="K66" t="s">
        <v>435</v>
      </c>
      <c r="L66" t="s">
        <v>436</v>
      </c>
      <c r="M66" t="s">
        <v>437</v>
      </c>
      <c r="N66" t="s">
        <v>438</v>
      </c>
      <c r="O66" t="s">
        <v>439</v>
      </c>
      <c r="P66" t="s">
        <v>440</v>
      </c>
      <c r="Q66" t="s">
        <v>204</v>
      </c>
    </row>
    <row r="67" spans="1:17" x14ac:dyDescent="0.2">
      <c r="A67" t="s">
        <v>460</v>
      </c>
      <c r="B67" t="s">
        <v>200</v>
      </c>
      <c r="C67" t="s">
        <v>428</v>
      </c>
      <c r="D67">
        <v>13</v>
      </c>
      <c r="E67" t="s">
        <v>429</v>
      </c>
      <c r="F67" t="s">
        <v>430</v>
      </c>
      <c r="G67" t="s">
        <v>431</v>
      </c>
      <c r="H67" t="s">
        <v>432</v>
      </c>
      <c r="I67" t="s">
        <v>433</v>
      </c>
      <c r="J67" t="s">
        <v>434</v>
      </c>
      <c r="K67" t="s">
        <v>435</v>
      </c>
      <c r="L67" t="s">
        <v>436</v>
      </c>
      <c r="M67" t="s">
        <v>437</v>
      </c>
      <c r="N67" t="s">
        <v>438</v>
      </c>
      <c r="O67" t="s">
        <v>439</v>
      </c>
      <c r="P67" t="s">
        <v>440</v>
      </c>
      <c r="Q67" t="s">
        <v>204</v>
      </c>
    </row>
    <row r="68" spans="1:17" x14ac:dyDescent="0.2">
      <c r="A68" t="s">
        <v>461</v>
      </c>
      <c r="B68" t="s">
        <v>200</v>
      </c>
      <c r="C68" t="s">
        <v>428</v>
      </c>
      <c r="D68">
        <v>13</v>
      </c>
      <c r="E68" t="s">
        <v>429</v>
      </c>
      <c r="F68" t="s">
        <v>430</v>
      </c>
      <c r="G68" t="s">
        <v>431</v>
      </c>
      <c r="H68" t="s">
        <v>432</v>
      </c>
      <c r="I68" t="s">
        <v>433</v>
      </c>
      <c r="J68" t="s">
        <v>434</v>
      </c>
      <c r="K68" t="s">
        <v>435</v>
      </c>
      <c r="L68" t="s">
        <v>436</v>
      </c>
      <c r="M68" t="s">
        <v>437</v>
      </c>
      <c r="N68" t="s">
        <v>438</v>
      </c>
      <c r="O68" t="s">
        <v>439</v>
      </c>
      <c r="P68" t="s">
        <v>440</v>
      </c>
      <c r="Q68" t="s">
        <v>204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L192"/>
  <sheetViews>
    <sheetView topLeftCell="A111" zoomScaleNormal="100" workbookViewId="0">
      <pane xSplit="1" topLeftCell="B1" activePane="topRight" state="frozen"/>
      <selection pane="topRight" activeCell="BT8" sqref="BT8"/>
    </sheetView>
  </sheetViews>
  <sheetFormatPr baseColWidth="10" defaultRowHeight="15" x14ac:dyDescent="0.2"/>
  <cols>
    <col min="5" max="5" width="15.5" customWidth="1"/>
  </cols>
  <sheetData>
    <row r="1" spans="1:142" x14ac:dyDescent="0.2">
      <c r="A1" t="s">
        <v>462</v>
      </c>
      <c r="B1" s="1" t="s">
        <v>15</v>
      </c>
      <c r="C1" s="1" t="s">
        <v>15</v>
      </c>
      <c r="D1" s="1" t="s">
        <v>15</v>
      </c>
      <c r="E1" s="3" t="s">
        <v>18</v>
      </c>
      <c r="F1" s="4" t="s">
        <v>25</v>
      </c>
      <c r="G1" s="4" t="s">
        <v>25</v>
      </c>
      <c r="H1" s="3" t="s">
        <v>18</v>
      </c>
      <c r="I1" s="4" t="s">
        <v>25</v>
      </c>
      <c r="J1" s="1" t="s">
        <v>15</v>
      </c>
      <c r="K1" s="1" t="s">
        <v>15</v>
      </c>
      <c r="L1" s="4" t="s">
        <v>25</v>
      </c>
      <c r="M1" s="4" t="s">
        <v>25</v>
      </c>
      <c r="N1" s="4" t="s">
        <v>25</v>
      </c>
      <c r="O1" s="4" t="s">
        <v>25</v>
      </c>
      <c r="P1" s="1" t="s">
        <v>15</v>
      </c>
      <c r="Q1" s="1" t="s">
        <v>15</v>
      </c>
      <c r="R1" s="4" t="s">
        <v>25</v>
      </c>
      <c r="S1" s="4" t="s">
        <v>25</v>
      </c>
      <c r="T1" s="4" t="s">
        <v>25</v>
      </c>
      <c r="U1" s="1" t="s">
        <v>15</v>
      </c>
      <c r="V1" s="1" t="s">
        <v>15</v>
      </c>
      <c r="W1" s="1" t="s">
        <v>15</v>
      </c>
      <c r="X1" s="3" t="s">
        <v>18</v>
      </c>
      <c r="Y1" s="3" t="s">
        <v>18</v>
      </c>
      <c r="Z1" s="3" t="s">
        <v>18</v>
      </c>
      <c r="AA1" s="2" t="s">
        <v>29</v>
      </c>
      <c r="AB1" s="2" t="s">
        <v>29</v>
      </c>
      <c r="AC1" s="2" t="s">
        <v>29</v>
      </c>
      <c r="AD1" s="2" t="s">
        <v>29</v>
      </c>
      <c r="AE1" s="2" t="s">
        <v>29</v>
      </c>
      <c r="AF1" s="4" t="s">
        <v>25</v>
      </c>
      <c r="AG1" s="4" t="s">
        <v>25</v>
      </c>
      <c r="AH1" s="4" t="s">
        <v>25</v>
      </c>
      <c r="AI1" s="3" t="s">
        <v>18</v>
      </c>
      <c r="AJ1" s="3" t="s">
        <v>18</v>
      </c>
      <c r="AK1" s="3" t="s">
        <v>18</v>
      </c>
      <c r="AL1" s="4" t="s">
        <v>25</v>
      </c>
      <c r="AM1" s="4" t="s">
        <v>25</v>
      </c>
      <c r="AN1" s="4" t="s">
        <v>25</v>
      </c>
      <c r="AO1" s="2" t="s">
        <v>29</v>
      </c>
      <c r="AP1" s="2" t="s">
        <v>29</v>
      </c>
      <c r="AQ1" s="3" t="s">
        <v>18</v>
      </c>
      <c r="AR1" s="3" t="s">
        <v>18</v>
      </c>
      <c r="AS1" s="2" t="s">
        <v>29</v>
      </c>
      <c r="AT1" s="3" t="s">
        <v>18</v>
      </c>
      <c r="AU1" s="2" t="s">
        <v>29</v>
      </c>
      <c r="AV1" s="2" t="s">
        <v>29</v>
      </c>
      <c r="AW1" s="2" t="s">
        <v>29</v>
      </c>
      <c r="AX1" s="2" t="s">
        <v>29</v>
      </c>
      <c r="AY1" s="3" t="s">
        <v>18</v>
      </c>
      <c r="AZ1" s="3" t="s">
        <v>18</v>
      </c>
      <c r="BA1" s="3" t="s">
        <v>18</v>
      </c>
      <c r="BB1" s="4" t="s">
        <v>25</v>
      </c>
      <c r="BC1" s="4" t="s">
        <v>25</v>
      </c>
      <c r="BD1" s="2" t="s">
        <v>29</v>
      </c>
      <c r="BE1" s="2" t="s">
        <v>29</v>
      </c>
      <c r="BF1" s="3" t="s">
        <v>18</v>
      </c>
      <c r="BG1" s="3" t="s">
        <v>18</v>
      </c>
      <c r="BH1" s="2" t="s">
        <v>29</v>
      </c>
      <c r="BI1" s="2" t="s">
        <v>29</v>
      </c>
      <c r="BJ1" s="3" t="s">
        <v>18</v>
      </c>
      <c r="BK1" s="3" t="s">
        <v>18</v>
      </c>
      <c r="BL1" s="3" t="s">
        <v>18</v>
      </c>
      <c r="BM1" s="3" t="s">
        <v>18</v>
      </c>
      <c r="BN1" s="3" t="s">
        <v>18</v>
      </c>
      <c r="BO1" s="4" t="s">
        <v>25</v>
      </c>
      <c r="BP1" s="4" t="s">
        <v>25</v>
      </c>
      <c r="BQ1" s="3" t="s">
        <v>18</v>
      </c>
      <c r="BR1" s="4" t="s">
        <v>25</v>
      </c>
      <c r="BS1" s="1" t="s">
        <v>15</v>
      </c>
      <c r="BT1" s="1" t="s">
        <v>15</v>
      </c>
      <c r="BU1" s="4" t="s">
        <v>25</v>
      </c>
      <c r="BV1" s="3" t="s">
        <v>18</v>
      </c>
      <c r="BW1" s="3" t="s">
        <v>18</v>
      </c>
      <c r="BX1" s="3" t="s">
        <v>18</v>
      </c>
      <c r="BY1" s="4" t="s">
        <v>25</v>
      </c>
      <c r="BZ1" s="4" t="s">
        <v>25</v>
      </c>
      <c r="CA1" s="4" t="s">
        <v>25</v>
      </c>
      <c r="CB1" s="4" t="s">
        <v>25</v>
      </c>
      <c r="CC1" s="4" t="s">
        <v>25</v>
      </c>
      <c r="CD1" s="4" t="s">
        <v>25</v>
      </c>
      <c r="CE1" s="4" t="s">
        <v>25</v>
      </c>
      <c r="CF1" s="4" t="s">
        <v>25</v>
      </c>
      <c r="CG1" s="4" t="s">
        <v>25</v>
      </c>
      <c r="CH1" s="4" t="s">
        <v>25</v>
      </c>
      <c r="CI1" s="4" t="s">
        <v>25</v>
      </c>
      <c r="CJ1" s="4" t="s">
        <v>25</v>
      </c>
      <c r="CK1" s="4" t="s">
        <v>25</v>
      </c>
      <c r="CL1" s="4" t="s">
        <v>25</v>
      </c>
      <c r="CM1" s="4" t="s">
        <v>25</v>
      </c>
      <c r="CN1" s="4" t="s">
        <v>25</v>
      </c>
      <c r="CO1" s="4" t="s">
        <v>25</v>
      </c>
      <c r="CP1" s="4" t="s">
        <v>25</v>
      </c>
      <c r="CQ1" s="4" t="s">
        <v>25</v>
      </c>
      <c r="CR1" s="4" t="s">
        <v>25</v>
      </c>
      <c r="CS1" s="4" t="s">
        <v>25</v>
      </c>
      <c r="CT1" s="4" t="s">
        <v>25</v>
      </c>
      <c r="CU1" s="4" t="s">
        <v>25</v>
      </c>
      <c r="CV1" s="4" t="s">
        <v>25</v>
      </c>
      <c r="CW1" s="4" t="s">
        <v>25</v>
      </c>
      <c r="CX1" s="4" t="s">
        <v>25</v>
      </c>
      <c r="CY1" s="4" t="s">
        <v>25</v>
      </c>
      <c r="CZ1" s="4" t="s">
        <v>25</v>
      </c>
      <c r="DA1" s="4" t="s">
        <v>25</v>
      </c>
      <c r="DB1" s="4" t="s">
        <v>25</v>
      </c>
      <c r="DC1" s="4" t="s">
        <v>25</v>
      </c>
      <c r="DD1" s="4" t="s">
        <v>25</v>
      </c>
      <c r="DE1" s="4" t="s">
        <v>25</v>
      </c>
      <c r="DF1" s="4" t="s">
        <v>25</v>
      </c>
      <c r="DG1" s="4" t="s">
        <v>25</v>
      </c>
      <c r="DH1" s="4" t="s">
        <v>25</v>
      </c>
      <c r="DI1" s="4" t="s">
        <v>25</v>
      </c>
      <c r="DJ1" s="4" t="s">
        <v>25</v>
      </c>
      <c r="DK1" s="4" t="s">
        <v>25</v>
      </c>
      <c r="DL1" s="4" t="s">
        <v>25</v>
      </c>
      <c r="DM1" s="4" t="s">
        <v>25</v>
      </c>
      <c r="DN1" s="4" t="s">
        <v>25</v>
      </c>
      <c r="DO1" s="4" t="s">
        <v>25</v>
      </c>
      <c r="DP1" s="4" t="s">
        <v>25</v>
      </c>
      <c r="DQ1" s="4" t="s">
        <v>25</v>
      </c>
      <c r="DR1" s="4" t="s">
        <v>25</v>
      </c>
      <c r="DS1" s="4" t="s">
        <v>25</v>
      </c>
      <c r="DT1" s="4" t="s">
        <v>25</v>
      </c>
      <c r="DU1" s="4" t="s">
        <v>25</v>
      </c>
      <c r="DV1" s="4" t="s">
        <v>25</v>
      </c>
      <c r="DW1" s="4" t="s">
        <v>25</v>
      </c>
      <c r="DX1" s="4" t="s">
        <v>25</v>
      </c>
      <c r="DY1" s="4" t="s">
        <v>25</v>
      </c>
      <c r="DZ1" s="4" t="s">
        <v>25</v>
      </c>
      <c r="EA1" s="4" t="s">
        <v>25</v>
      </c>
      <c r="EB1" s="4" t="s">
        <v>25</v>
      </c>
      <c r="EC1" s="4" t="s">
        <v>25</v>
      </c>
      <c r="ED1" s="4" t="s">
        <v>25</v>
      </c>
      <c r="EE1" s="4" t="s">
        <v>25</v>
      </c>
      <c r="EF1" s="4" t="s">
        <v>25</v>
      </c>
      <c r="EG1" s="4" t="s">
        <v>25</v>
      </c>
      <c r="EH1" s="4" t="s">
        <v>25</v>
      </c>
      <c r="EI1" s="4" t="s">
        <v>25</v>
      </c>
      <c r="EJ1" s="4" t="s">
        <v>25</v>
      </c>
      <c r="EK1" s="4" t="s">
        <v>25</v>
      </c>
      <c r="EL1" s="4" t="s">
        <v>25</v>
      </c>
    </row>
    <row r="2" spans="1:142" x14ac:dyDescent="0.2">
      <c r="A2" t="s">
        <v>463</v>
      </c>
      <c r="B2" t="s">
        <v>464</v>
      </c>
      <c r="C2" t="s">
        <v>464</v>
      </c>
      <c r="D2" t="s">
        <v>464</v>
      </c>
      <c r="E2" t="s">
        <v>465</v>
      </c>
      <c r="F2" t="s">
        <v>465</v>
      </c>
      <c r="G2" t="s">
        <v>465</v>
      </c>
      <c r="H2" t="s">
        <v>465</v>
      </c>
      <c r="I2" t="s">
        <v>465</v>
      </c>
      <c r="J2" t="s">
        <v>44</v>
      </c>
      <c r="K2" t="s">
        <v>44</v>
      </c>
      <c r="L2" t="s">
        <v>44</v>
      </c>
      <c r="M2" t="s">
        <v>44</v>
      </c>
      <c r="N2" t="s">
        <v>44</v>
      </c>
      <c r="O2" t="s">
        <v>44</v>
      </c>
      <c r="P2" t="s">
        <v>44</v>
      </c>
      <c r="Q2" t="s">
        <v>44</v>
      </c>
      <c r="R2" t="s">
        <v>44</v>
      </c>
      <c r="S2" t="s">
        <v>44</v>
      </c>
      <c r="T2" t="s">
        <v>44</v>
      </c>
      <c r="U2" t="s">
        <v>44</v>
      </c>
      <c r="V2" t="s">
        <v>44</v>
      </c>
      <c r="W2" t="s">
        <v>44</v>
      </c>
      <c r="X2" t="s">
        <v>44</v>
      </c>
      <c r="Y2" t="s">
        <v>44</v>
      </c>
      <c r="Z2" t="s">
        <v>44</v>
      </c>
      <c r="AA2" t="s">
        <v>44</v>
      </c>
      <c r="AB2" t="s">
        <v>44</v>
      </c>
      <c r="AC2" t="s">
        <v>466</v>
      </c>
      <c r="AD2" t="s">
        <v>466</v>
      </c>
      <c r="AE2" t="s">
        <v>466</v>
      </c>
      <c r="AF2" t="s">
        <v>466</v>
      </c>
      <c r="AG2" t="s">
        <v>466</v>
      </c>
      <c r="AH2" t="s">
        <v>466</v>
      </c>
      <c r="AI2" t="s">
        <v>467</v>
      </c>
      <c r="AJ2" t="s">
        <v>467</v>
      </c>
      <c r="AK2" t="s">
        <v>467</v>
      </c>
      <c r="AL2" t="s">
        <v>467</v>
      </c>
      <c r="AM2" t="s">
        <v>467</v>
      </c>
      <c r="AN2" t="s">
        <v>467</v>
      </c>
      <c r="AO2" t="s">
        <v>467</v>
      </c>
      <c r="AP2" t="s">
        <v>467</v>
      </c>
      <c r="AQ2" t="s">
        <v>467</v>
      </c>
      <c r="AR2" t="s">
        <v>467</v>
      </c>
      <c r="AS2" t="s">
        <v>467</v>
      </c>
      <c r="AT2" t="s">
        <v>467</v>
      </c>
      <c r="AU2" t="s">
        <v>467</v>
      </c>
      <c r="AV2" t="s">
        <v>467</v>
      </c>
      <c r="AW2" t="s">
        <v>467</v>
      </c>
      <c r="AX2" t="s">
        <v>467</v>
      </c>
      <c r="AY2" t="s">
        <v>467</v>
      </c>
      <c r="AZ2" t="s">
        <v>467</v>
      </c>
      <c r="BA2" t="s">
        <v>467</v>
      </c>
      <c r="BB2" t="s">
        <v>467</v>
      </c>
      <c r="BC2" t="s">
        <v>468</v>
      </c>
      <c r="BD2" t="s">
        <v>468</v>
      </c>
      <c r="BE2" t="s">
        <v>468</v>
      </c>
      <c r="BF2" t="s">
        <v>468</v>
      </c>
      <c r="BG2" t="s">
        <v>468</v>
      </c>
      <c r="BH2" t="s">
        <v>468</v>
      </c>
      <c r="BI2" t="s">
        <v>468</v>
      </c>
      <c r="BJ2" t="s">
        <v>468</v>
      </c>
      <c r="BK2" t="s">
        <v>468</v>
      </c>
      <c r="BL2" t="s">
        <v>468</v>
      </c>
      <c r="BM2" t="s">
        <v>468</v>
      </c>
      <c r="BN2" t="s">
        <v>468</v>
      </c>
      <c r="BO2" t="s">
        <v>468</v>
      </c>
      <c r="BP2" t="s">
        <v>468</v>
      </c>
      <c r="BQ2" t="s">
        <v>468</v>
      </c>
      <c r="BR2" t="s">
        <v>468</v>
      </c>
      <c r="BS2" t="s">
        <v>46</v>
      </c>
      <c r="BT2" t="s">
        <v>87</v>
      </c>
      <c r="BU2" t="s">
        <v>469</v>
      </c>
      <c r="BV2" t="s">
        <v>469</v>
      </c>
      <c r="BW2" t="s">
        <v>469</v>
      </c>
      <c r="BX2" t="s">
        <v>469</v>
      </c>
      <c r="BY2" t="s">
        <v>469</v>
      </c>
      <c r="BZ2" t="s">
        <v>469</v>
      </c>
      <c r="CA2" t="s">
        <v>469</v>
      </c>
      <c r="CB2" t="s">
        <v>469</v>
      </c>
      <c r="CC2" t="s">
        <v>469</v>
      </c>
      <c r="CD2" t="s">
        <v>469</v>
      </c>
      <c r="CE2" t="s">
        <v>469</v>
      </c>
      <c r="CF2" t="s">
        <v>469</v>
      </c>
      <c r="CG2" t="s">
        <v>469</v>
      </c>
      <c r="CH2" t="s">
        <v>469</v>
      </c>
      <c r="CI2" t="s">
        <v>469</v>
      </c>
      <c r="CJ2" t="s">
        <v>469</v>
      </c>
      <c r="CK2" t="s">
        <v>469</v>
      </c>
      <c r="CL2" t="s">
        <v>469</v>
      </c>
      <c r="CM2" t="s">
        <v>469</v>
      </c>
      <c r="CN2" t="s">
        <v>469</v>
      </c>
      <c r="CO2" t="s">
        <v>469</v>
      </c>
      <c r="CP2" t="s">
        <v>469</v>
      </c>
      <c r="CQ2" t="s">
        <v>469</v>
      </c>
      <c r="CR2" t="s">
        <v>469</v>
      </c>
      <c r="CS2" t="s">
        <v>469</v>
      </c>
      <c r="CT2" t="s">
        <v>469</v>
      </c>
      <c r="CU2" t="s">
        <v>469</v>
      </c>
      <c r="CV2" t="s">
        <v>469</v>
      </c>
      <c r="CW2" t="s">
        <v>469</v>
      </c>
      <c r="CX2" t="s">
        <v>469</v>
      </c>
      <c r="CY2" t="s">
        <v>469</v>
      </c>
      <c r="CZ2" t="s">
        <v>469</v>
      </c>
      <c r="DA2" t="s">
        <v>469</v>
      </c>
      <c r="DB2" t="s">
        <v>469</v>
      </c>
      <c r="DC2" t="s">
        <v>469</v>
      </c>
      <c r="DD2" t="s">
        <v>469</v>
      </c>
      <c r="DE2" t="s">
        <v>469</v>
      </c>
      <c r="DF2" t="s">
        <v>469</v>
      </c>
      <c r="DG2" t="s">
        <v>469</v>
      </c>
      <c r="DH2" t="s">
        <v>469</v>
      </c>
      <c r="DI2" t="s">
        <v>469</v>
      </c>
      <c r="DJ2" t="s">
        <v>469</v>
      </c>
      <c r="DK2" t="s">
        <v>469</v>
      </c>
      <c r="DL2" t="s">
        <v>469</v>
      </c>
      <c r="DM2" t="s">
        <v>469</v>
      </c>
      <c r="DN2" t="s">
        <v>469</v>
      </c>
      <c r="DO2" t="s">
        <v>469</v>
      </c>
      <c r="DP2" t="s">
        <v>469</v>
      </c>
      <c r="DQ2" t="s">
        <v>469</v>
      </c>
      <c r="DR2" t="s">
        <v>469</v>
      </c>
      <c r="DS2" t="s">
        <v>469</v>
      </c>
      <c r="DT2" t="s">
        <v>469</v>
      </c>
      <c r="DU2" t="s">
        <v>469</v>
      </c>
      <c r="DV2" t="s">
        <v>469</v>
      </c>
      <c r="DW2" t="s">
        <v>469</v>
      </c>
      <c r="DX2" t="s">
        <v>469</v>
      </c>
      <c r="DY2" t="s">
        <v>469</v>
      </c>
      <c r="DZ2" t="s">
        <v>469</v>
      </c>
      <c r="EA2" t="s">
        <v>469</v>
      </c>
      <c r="EB2" t="s">
        <v>469</v>
      </c>
      <c r="EC2" t="s">
        <v>469</v>
      </c>
      <c r="ED2" t="s">
        <v>469</v>
      </c>
      <c r="EE2" t="s">
        <v>469</v>
      </c>
      <c r="EF2" t="s">
        <v>469</v>
      </c>
      <c r="EG2" t="s">
        <v>469</v>
      </c>
      <c r="EH2" t="s">
        <v>469</v>
      </c>
      <c r="EI2" t="s">
        <v>469</v>
      </c>
      <c r="EJ2" t="s">
        <v>469</v>
      </c>
      <c r="EK2" t="s">
        <v>469</v>
      </c>
      <c r="EL2" t="s">
        <v>469</v>
      </c>
    </row>
    <row r="3" spans="1:142" x14ac:dyDescent="0.2">
      <c r="A3" s="5" t="s">
        <v>470</v>
      </c>
      <c r="B3" s="5" t="s">
        <v>209</v>
      </c>
      <c r="C3" s="5" t="s">
        <v>215</v>
      </c>
      <c r="D3" s="5" t="s">
        <v>471</v>
      </c>
      <c r="E3" s="5" t="s">
        <v>472</v>
      </c>
      <c r="F3" s="5" t="s">
        <v>473</v>
      </c>
      <c r="G3" s="5" t="s">
        <v>474</v>
      </c>
      <c r="H3" s="5" t="s">
        <v>475</v>
      </c>
      <c r="I3" s="5" t="s">
        <v>476</v>
      </c>
      <c r="J3" s="5" t="s">
        <v>477</v>
      </c>
      <c r="K3" s="5" t="s">
        <v>478</v>
      </c>
      <c r="L3" s="5" t="s">
        <v>479</v>
      </c>
      <c r="M3" s="5" t="s">
        <v>480</v>
      </c>
      <c r="N3" s="5" t="s">
        <v>222</v>
      </c>
      <c r="O3" s="5" t="s">
        <v>227</v>
      </c>
      <c r="P3" s="5" t="s">
        <v>481</v>
      </c>
      <c r="Q3" s="5" t="s">
        <v>482</v>
      </c>
      <c r="R3" s="5" t="s">
        <v>483</v>
      </c>
      <c r="S3" s="5" t="s">
        <v>484</v>
      </c>
      <c r="T3" s="5" t="s">
        <v>485</v>
      </c>
      <c r="U3" s="5" t="s">
        <v>486</v>
      </c>
      <c r="V3" s="5" t="s">
        <v>487</v>
      </c>
      <c r="W3" s="5" t="s">
        <v>488</v>
      </c>
      <c r="X3" s="5" t="s">
        <v>236</v>
      </c>
      <c r="Y3" s="5" t="s">
        <v>489</v>
      </c>
      <c r="Z3" s="5" t="s">
        <v>490</v>
      </c>
      <c r="AA3" s="5" t="s">
        <v>491</v>
      </c>
      <c r="AB3" s="5" t="s">
        <v>237</v>
      </c>
      <c r="AC3" s="5" t="s">
        <v>492</v>
      </c>
      <c r="AD3" s="5" t="s">
        <v>248</v>
      </c>
      <c r="AE3" s="5" t="s">
        <v>493</v>
      </c>
      <c r="AF3" s="5" t="s">
        <v>494</v>
      </c>
      <c r="AG3" s="5" t="s">
        <v>495</v>
      </c>
      <c r="AH3" s="5" t="s">
        <v>496</v>
      </c>
      <c r="AI3" s="5" t="s">
        <v>497</v>
      </c>
      <c r="AJ3" s="5" t="s">
        <v>255</v>
      </c>
      <c r="AK3" s="5" t="s">
        <v>498</v>
      </c>
      <c r="AL3" s="5" t="s">
        <v>499</v>
      </c>
      <c r="AM3" s="5" t="s">
        <v>256</v>
      </c>
      <c r="AN3" s="5" t="s">
        <v>500</v>
      </c>
      <c r="AO3" s="5" t="s">
        <v>501</v>
      </c>
      <c r="AP3" s="5" t="s">
        <v>502</v>
      </c>
      <c r="AQ3" s="5" t="s">
        <v>503</v>
      </c>
      <c r="AR3" s="5" t="s">
        <v>504</v>
      </c>
      <c r="AS3" s="5" t="s">
        <v>264</v>
      </c>
      <c r="AT3" s="5" t="s">
        <v>505</v>
      </c>
      <c r="AU3" s="5" t="s">
        <v>273</v>
      </c>
      <c r="AV3" s="5" t="s">
        <v>506</v>
      </c>
      <c r="AW3" s="5" t="s">
        <v>507</v>
      </c>
      <c r="AX3" s="5" t="s">
        <v>508</v>
      </c>
      <c r="AY3" s="5" t="s">
        <v>509</v>
      </c>
      <c r="AZ3" s="5" t="s">
        <v>277</v>
      </c>
      <c r="BA3" s="5" t="s">
        <v>510</v>
      </c>
      <c r="BB3" s="5" t="s">
        <v>511</v>
      </c>
      <c r="BC3" s="5" t="s">
        <v>512</v>
      </c>
      <c r="BD3" s="5" t="s">
        <v>513</v>
      </c>
      <c r="BE3" s="5" t="s">
        <v>278</v>
      </c>
      <c r="BF3" s="5" t="s">
        <v>279</v>
      </c>
      <c r="BG3" s="5" t="s">
        <v>286</v>
      </c>
      <c r="BH3" s="5" t="s">
        <v>514</v>
      </c>
      <c r="BI3" s="5" t="s">
        <v>515</v>
      </c>
      <c r="BJ3" s="5" t="s">
        <v>516</v>
      </c>
      <c r="BK3" s="5" t="s">
        <v>294</v>
      </c>
      <c r="BL3" s="5" t="s">
        <v>517</v>
      </c>
      <c r="BM3" s="5" t="s">
        <v>518</v>
      </c>
      <c r="BN3" s="5" t="s">
        <v>295</v>
      </c>
      <c r="BO3" s="5" t="s">
        <v>519</v>
      </c>
      <c r="BP3" s="5" t="s">
        <v>520</v>
      </c>
      <c r="BQ3" s="5" t="s">
        <v>521</v>
      </c>
      <c r="BR3" s="5" t="s">
        <v>522</v>
      </c>
      <c r="BS3" s="5" t="s">
        <v>51</v>
      </c>
      <c r="BT3" s="5" t="s">
        <v>367</v>
      </c>
      <c r="BU3" s="5" t="s">
        <v>523</v>
      </c>
      <c r="BV3" s="5" t="s">
        <v>524</v>
      </c>
      <c r="BW3" s="5" t="s">
        <v>525</v>
      </c>
      <c r="BX3" s="5" t="s">
        <v>526</v>
      </c>
      <c r="BY3" s="5" t="s">
        <v>527</v>
      </c>
      <c r="BZ3" s="5" t="s">
        <v>528</v>
      </c>
      <c r="CA3" s="5" t="s">
        <v>529</v>
      </c>
      <c r="CB3" s="5" t="s">
        <v>530</v>
      </c>
      <c r="CC3" s="5" t="s">
        <v>531</v>
      </c>
      <c r="CD3" s="5" t="s">
        <v>532</v>
      </c>
      <c r="CE3" s="5" t="s">
        <v>533</v>
      </c>
      <c r="CF3" s="5" t="s">
        <v>534</v>
      </c>
      <c r="CG3" s="5" t="s">
        <v>535</v>
      </c>
      <c r="CH3" s="5" t="s">
        <v>536</v>
      </c>
      <c r="CI3" s="5" t="s">
        <v>537</v>
      </c>
      <c r="CJ3" s="5" t="s">
        <v>538</v>
      </c>
      <c r="CK3" s="5" t="s">
        <v>539</v>
      </c>
      <c r="CL3" s="5" t="s">
        <v>540</v>
      </c>
      <c r="CM3" s="5" t="s">
        <v>541</v>
      </c>
      <c r="CN3" s="5" t="s">
        <v>542</v>
      </c>
      <c r="CO3" s="5" t="s">
        <v>543</v>
      </c>
      <c r="CP3" s="5" t="s">
        <v>544</v>
      </c>
      <c r="CQ3" s="5" t="s">
        <v>545</v>
      </c>
      <c r="CR3" s="5" t="s">
        <v>419</v>
      </c>
      <c r="CS3" s="5" t="s">
        <v>546</v>
      </c>
      <c r="CT3" s="5" t="s">
        <v>421</v>
      </c>
      <c r="CU3" s="5" t="s">
        <v>547</v>
      </c>
      <c r="CV3" s="5" t="s">
        <v>426</v>
      </c>
      <c r="CW3" s="5" t="s">
        <v>548</v>
      </c>
      <c r="CX3" s="5" t="s">
        <v>427</v>
      </c>
      <c r="CY3" s="5" t="s">
        <v>549</v>
      </c>
      <c r="CZ3" s="5" t="s">
        <v>441</v>
      </c>
      <c r="DA3" s="5" t="s">
        <v>550</v>
      </c>
      <c r="DB3" s="5" t="s">
        <v>442</v>
      </c>
      <c r="DC3" s="5" t="s">
        <v>551</v>
      </c>
      <c r="DD3" s="5" t="s">
        <v>443</v>
      </c>
      <c r="DE3" s="5" t="s">
        <v>552</v>
      </c>
      <c r="DF3" s="5" t="s">
        <v>444</v>
      </c>
      <c r="DG3" s="5" t="s">
        <v>553</v>
      </c>
      <c r="DH3" s="5" t="s">
        <v>447</v>
      </c>
      <c r="DI3" s="5" t="s">
        <v>554</v>
      </c>
      <c r="DJ3" s="5" t="s">
        <v>448</v>
      </c>
      <c r="DK3" s="5" t="s">
        <v>555</v>
      </c>
      <c r="DL3" s="5" t="s">
        <v>449</v>
      </c>
      <c r="DM3" s="5" t="s">
        <v>556</v>
      </c>
      <c r="DN3" s="5" t="s">
        <v>450</v>
      </c>
      <c r="DO3" s="5" t="s">
        <v>557</v>
      </c>
      <c r="DP3" s="5" t="s">
        <v>451</v>
      </c>
      <c r="DQ3" s="5" t="s">
        <v>558</v>
      </c>
      <c r="DR3" s="5" t="s">
        <v>559</v>
      </c>
      <c r="DS3" s="5" t="s">
        <v>452</v>
      </c>
      <c r="DT3" s="5" t="s">
        <v>560</v>
      </c>
      <c r="DU3" s="5" t="s">
        <v>561</v>
      </c>
      <c r="DV3" s="5" t="s">
        <v>453</v>
      </c>
      <c r="DW3" s="5" t="s">
        <v>562</v>
      </c>
      <c r="DX3" s="5" t="s">
        <v>454</v>
      </c>
      <c r="DY3" s="5" t="s">
        <v>563</v>
      </c>
      <c r="DZ3" s="5" t="s">
        <v>455</v>
      </c>
      <c r="EA3" s="5" t="s">
        <v>564</v>
      </c>
      <c r="EB3" s="5" t="s">
        <v>456</v>
      </c>
      <c r="EC3" s="5" t="s">
        <v>565</v>
      </c>
      <c r="ED3" s="5" t="s">
        <v>457</v>
      </c>
      <c r="EE3" s="5" t="s">
        <v>566</v>
      </c>
      <c r="EF3" s="5" t="s">
        <v>458</v>
      </c>
      <c r="EG3" s="5" t="s">
        <v>567</v>
      </c>
      <c r="EH3" s="5" t="s">
        <v>459</v>
      </c>
      <c r="EI3" s="5" t="s">
        <v>568</v>
      </c>
      <c r="EJ3" s="5" t="s">
        <v>460</v>
      </c>
      <c r="EK3" s="5" t="s">
        <v>569</v>
      </c>
      <c r="EL3" s="5" t="s">
        <v>461</v>
      </c>
    </row>
    <row r="4" spans="1:142" x14ac:dyDescent="0.2">
      <c r="A4" t="s">
        <v>694</v>
      </c>
      <c r="B4" t="s">
        <v>211</v>
      </c>
      <c r="E4" t="str">
        <f>_xlfn.CONCAT(projectMetadata!$D$8,"_",sampleMetadata!A4)</f>
        <v>CROP_2024_0101</v>
      </c>
      <c r="F4" t="str">
        <f t="shared" ref="F4:F35" si="0">LEFT(A4,9)</f>
        <v>0101</v>
      </c>
      <c r="G4" t="str">
        <f t="shared" ref="G4:G35" si="1">F4</f>
        <v>0101</v>
      </c>
      <c r="H4" t="s">
        <v>865</v>
      </c>
      <c r="J4">
        <v>-0.81100264290000001</v>
      </c>
      <c r="K4">
        <v>54.305806249900002</v>
      </c>
      <c r="P4" t="s">
        <v>693</v>
      </c>
      <c r="Q4" s="7">
        <v>45306.611111111109</v>
      </c>
      <c r="R4" t="s">
        <v>663</v>
      </c>
      <c r="U4" t="s">
        <v>886</v>
      </c>
      <c r="V4" t="s">
        <v>664</v>
      </c>
      <c r="W4" t="s">
        <v>887</v>
      </c>
      <c r="X4" t="s">
        <v>207</v>
      </c>
      <c r="Y4" t="s">
        <v>883</v>
      </c>
      <c r="Z4" t="s">
        <v>884</v>
      </c>
      <c r="AA4">
        <v>2000</v>
      </c>
      <c r="AB4" t="s">
        <v>239</v>
      </c>
      <c r="AC4">
        <v>10</v>
      </c>
      <c r="AD4" t="s">
        <v>254</v>
      </c>
      <c r="AE4" t="s">
        <v>885</v>
      </c>
      <c r="AP4">
        <v>0.45</v>
      </c>
      <c r="AS4" t="s">
        <v>267</v>
      </c>
      <c r="AT4" t="s">
        <v>888</v>
      </c>
      <c r="AY4">
        <v>-18</v>
      </c>
      <c r="BF4" t="s">
        <v>283</v>
      </c>
      <c r="BG4" t="s">
        <v>288</v>
      </c>
      <c r="BH4" t="s">
        <v>665</v>
      </c>
      <c r="BI4" t="s">
        <v>666</v>
      </c>
      <c r="BJ4" t="s">
        <v>665</v>
      </c>
      <c r="BK4" t="s">
        <v>207</v>
      </c>
      <c r="BQ4">
        <v>1</v>
      </c>
      <c r="BS4" t="s">
        <v>624</v>
      </c>
    </row>
    <row r="5" spans="1:142" x14ac:dyDescent="0.2">
      <c r="A5" t="s">
        <v>695</v>
      </c>
      <c r="B5" t="s">
        <v>211</v>
      </c>
      <c r="E5" t="str">
        <f>_xlfn.CONCAT(projectMetadata!$D$8,"_",sampleMetadata!A5)</f>
        <v>CROP_2024_0102</v>
      </c>
      <c r="F5" t="str">
        <f t="shared" si="0"/>
        <v>0102</v>
      </c>
      <c r="G5" t="str">
        <f t="shared" si="1"/>
        <v>0102</v>
      </c>
      <c r="H5" t="s">
        <v>865</v>
      </c>
      <c r="J5">
        <v>-0.80960975670000002</v>
      </c>
      <c r="K5">
        <v>54.306324540200002</v>
      </c>
      <c r="P5" t="s">
        <v>693</v>
      </c>
      <c r="Q5" s="7">
        <v>45306.600694444445</v>
      </c>
      <c r="R5" t="s">
        <v>663</v>
      </c>
      <c r="U5" t="s">
        <v>886</v>
      </c>
      <c r="V5" t="s">
        <v>664</v>
      </c>
      <c r="W5" t="s">
        <v>887</v>
      </c>
      <c r="X5" t="s">
        <v>207</v>
      </c>
      <c r="Y5" t="s">
        <v>883</v>
      </c>
      <c r="Z5" t="s">
        <v>884</v>
      </c>
      <c r="AA5">
        <v>2000</v>
      </c>
      <c r="AB5" t="s">
        <v>239</v>
      </c>
      <c r="AC5">
        <v>10</v>
      </c>
      <c r="AD5" t="s">
        <v>254</v>
      </c>
      <c r="AE5" t="s">
        <v>885</v>
      </c>
      <c r="AP5">
        <v>0.45</v>
      </c>
      <c r="AS5" t="s">
        <v>267</v>
      </c>
      <c r="AT5" t="s">
        <v>888</v>
      </c>
      <c r="AY5">
        <v>-18</v>
      </c>
      <c r="BF5" t="s">
        <v>283</v>
      </c>
      <c r="BG5" t="s">
        <v>288</v>
      </c>
      <c r="BH5" t="s">
        <v>665</v>
      </c>
      <c r="BI5" t="s">
        <v>666</v>
      </c>
      <c r="BJ5" t="s">
        <v>665</v>
      </c>
      <c r="BK5" t="s">
        <v>207</v>
      </c>
      <c r="BQ5">
        <v>1</v>
      </c>
      <c r="BS5" t="s">
        <v>624</v>
      </c>
    </row>
    <row r="6" spans="1:142" x14ac:dyDescent="0.2">
      <c r="A6" t="s">
        <v>696</v>
      </c>
      <c r="B6" t="s">
        <v>211</v>
      </c>
      <c r="E6" t="str">
        <f>_xlfn.CONCAT(projectMetadata!$D$8,"_",sampleMetadata!A6)</f>
        <v>CROP_2024_0103</v>
      </c>
      <c r="F6" t="str">
        <f t="shared" si="0"/>
        <v>0103</v>
      </c>
      <c r="G6" t="str">
        <f t="shared" si="1"/>
        <v>0103</v>
      </c>
      <c r="H6" t="s">
        <v>865</v>
      </c>
      <c r="J6">
        <v>-0.81187299260000001</v>
      </c>
      <c r="K6">
        <v>54.305987271100001</v>
      </c>
      <c r="P6" t="s">
        <v>693</v>
      </c>
      <c r="Q6" s="7">
        <v>45306.59375</v>
      </c>
      <c r="R6" t="s">
        <v>663</v>
      </c>
      <c r="U6" t="s">
        <v>886</v>
      </c>
      <c r="V6" t="s">
        <v>664</v>
      </c>
      <c r="W6" t="s">
        <v>887</v>
      </c>
      <c r="X6" t="s">
        <v>207</v>
      </c>
      <c r="Y6" t="s">
        <v>883</v>
      </c>
      <c r="Z6" t="s">
        <v>884</v>
      </c>
      <c r="AA6">
        <v>2000</v>
      </c>
      <c r="AB6" t="s">
        <v>239</v>
      </c>
      <c r="AC6">
        <v>10</v>
      </c>
      <c r="AD6" t="s">
        <v>254</v>
      </c>
      <c r="AE6" t="s">
        <v>885</v>
      </c>
      <c r="AP6">
        <v>0.45</v>
      </c>
      <c r="AS6" t="s">
        <v>267</v>
      </c>
      <c r="AT6" t="s">
        <v>888</v>
      </c>
      <c r="AY6">
        <v>-18</v>
      </c>
      <c r="BF6" t="s">
        <v>283</v>
      </c>
      <c r="BG6" t="s">
        <v>288</v>
      </c>
      <c r="BH6" t="s">
        <v>665</v>
      </c>
      <c r="BI6" t="s">
        <v>666</v>
      </c>
      <c r="BJ6" t="s">
        <v>665</v>
      </c>
      <c r="BK6" t="s">
        <v>207</v>
      </c>
      <c r="BQ6">
        <v>1</v>
      </c>
      <c r="BS6" t="s">
        <v>624</v>
      </c>
    </row>
    <row r="7" spans="1:142" x14ac:dyDescent="0.2">
      <c r="A7" t="s">
        <v>697</v>
      </c>
      <c r="B7" t="s">
        <v>211</v>
      </c>
      <c r="E7" t="str">
        <f>_xlfn.CONCAT(projectMetadata!$D$8,"_",sampleMetadata!A7)</f>
        <v>CROP_2024_0104</v>
      </c>
      <c r="F7" t="str">
        <f t="shared" si="0"/>
        <v>0104</v>
      </c>
      <c r="G7" t="str">
        <f t="shared" si="1"/>
        <v>0104</v>
      </c>
      <c r="H7" t="s">
        <v>865</v>
      </c>
      <c r="J7">
        <v>-0.81155620490000002</v>
      </c>
      <c r="K7">
        <v>54.305646188399997</v>
      </c>
      <c r="P7" t="s">
        <v>693</v>
      </c>
      <c r="Q7" s="7">
        <v>45306.583333333336</v>
      </c>
      <c r="R7" t="s">
        <v>663</v>
      </c>
      <c r="U7" t="s">
        <v>886</v>
      </c>
      <c r="V7" t="s">
        <v>664</v>
      </c>
      <c r="W7" t="s">
        <v>887</v>
      </c>
      <c r="X7" t="s">
        <v>207</v>
      </c>
      <c r="Y7" t="s">
        <v>883</v>
      </c>
      <c r="Z7" t="s">
        <v>884</v>
      </c>
      <c r="AA7">
        <v>2000</v>
      </c>
      <c r="AB7" t="s">
        <v>239</v>
      </c>
      <c r="AC7">
        <v>10</v>
      </c>
      <c r="AD7" t="s">
        <v>254</v>
      </c>
      <c r="AE7" t="s">
        <v>885</v>
      </c>
      <c r="AP7">
        <v>0.45</v>
      </c>
      <c r="AS7" t="s">
        <v>267</v>
      </c>
      <c r="AT7" t="s">
        <v>888</v>
      </c>
      <c r="AY7">
        <v>-18</v>
      </c>
      <c r="BF7" t="s">
        <v>283</v>
      </c>
      <c r="BG7" t="s">
        <v>288</v>
      </c>
      <c r="BH7" t="s">
        <v>665</v>
      </c>
      <c r="BI7" t="s">
        <v>666</v>
      </c>
      <c r="BJ7" t="s">
        <v>665</v>
      </c>
      <c r="BK7" t="s">
        <v>207</v>
      </c>
      <c r="BQ7">
        <v>1</v>
      </c>
      <c r="BS7" t="s">
        <v>624</v>
      </c>
    </row>
    <row r="8" spans="1:142" x14ac:dyDescent="0.2">
      <c r="A8" t="s">
        <v>698</v>
      </c>
      <c r="B8" t="s">
        <v>211</v>
      </c>
      <c r="E8" t="str">
        <f>_xlfn.CONCAT(projectMetadata!$D$8,"_",sampleMetadata!A8)</f>
        <v>CROP_2024_0105</v>
      </c>
      <c r="F8" t="str">
        <f t="shared" si="0"/>
        <v>0105</v>
      </c>
      <c r="G8" t="str">
        <f t="shared" si="1"/>
        <v>0105</v>
      </c>
      <c r="H8" t="s">
        <v>865</v>
      </c>
      <c r="J8">
        <v>-0.81322505560000002</v>
      </c>
      <c r="K8">
        <v>54.305209826999999</v>
      </c>
      <c r="P8" t="s">
        <v>693</v>
      </c>
      <c r="Q8" s="7">
        <v>45306.572916666664</v>
      </c>
      <c r="R8" t="s">
        <v>663</v>
      </c>
      <c r="U8" t="s">
        <v>886</v>
      </c>
      <c r="V8" t="s">
        <v>664</v>
      </c>
      <c r="W8" t="s">
        <v>887</v>
      </c>
      <c r="X8" t="s">
        <v>207</v>
      </c>
      <c r="Y8" t="s">
        <v>883</v>
      </c>
      <c r="Z8" t="s">
        <v>884</v>
      </c>
      <c r="AA8">
        <v>2000</v>
      </c>
      <c r="AB8" t="s">
        <v>239</v>
      </c>
      <c r="AC8">
        <v>10</v>
      </c>
      <c r="AD8" t="s">
        <v>254</v>
      </c>
      <c r="AE8" t="s">
        <v>885</v>
      </c>
      <c r="AP8">
        <v>0.45</v>
      </c>
      <c r="AS8" t="s">
        <v>267</v>
      </c>
      <c r="AT8" t="s">
        <v>888</v>
      </c>
      <c r="AY8">
        <v>-18</v>
      </c>
      <c r="BF8" t="s">
        <v>283</v>
      </c>
      <c r="BG8" t="s">
        <v>288</v>
      </c>
      <c r="BH8" t="s">
        <v>665</v>
      </c>
      <c r="BI8" t="s">
        <v>666</v>
      </c>
      <c r="BJ8" t="s">
        <v>665</v>
      </c>
      <c r="BK8" t="s">
        <v>207</v>
      </c>
      <c r="BQ8">
        <v>1</v>
      </c>
      <c r="BS8" t="s">
        <v>624</v>
      </c>
    </row>
    <row r="9" spans="1:142" x14ac:dyDescent="0.2">
      <c r="A9" t="s">
        <v>699</v>
      </c>
      <c r="B9" t="s">
        <v>211</v>
      </c>
      <c r="E9" t="str">
        <f>_xlfn.CONCAT(projectMetadata!$D$8,"_",sampleMetadata!A9)</f>
        <v>CROP_2024_0106</v>
      </c>
      <c r="F9" t="str">
        <f t="shared" si="0"/>
        <v>0106</v>
      </c>
      <c r="G9" t="str">
        <f t="shared" si="1"/>
        <v>0106</v>
      </c>
      <c r="H9" t="s">
        <v>865</v>
      </c>
      <c r="J9">
        <v>-0.81573976209999999</v>
      </c>
      <c r="K9">
        <v>54.304996408400001</v>
      </c>
      <c r="P9" t="s">
        <v>693</v>
      </c>
      <c r="Q9" s="7">
        <v>45306.5625</v>
      </c>
      <c r="R9" t="s">
        <v>663</v>
      </c>
      <c r="U9" t="s">
        <v>886</v>
      </c>
      <c r="V9" t="s">
        <v>664</v>
      </c>
      <c r="W9" t="s">
        <v>887</v>
      </c>
      <c r="X9" t="s">
        <v>207</v>
      </c>
      <c r="Y9" t="s">
        <v>883</v>
      </c>
      <c r="Z9" t="s">
        <v>884</v>
      </c>
      <c r="AA9">
        <v>2000</v>
      </c>
      <c r="AB9" t="s">
        <v>239</v>
      </c>
      <c r="AC9">
        <v>10</v>
      </c>
      <c r="AD9" t="s">
        <v>254</v>
      </c>
      <c r="AE9" t="s">
        <v>885</v>
      </c>
      <c r="AP9">
        <v>0.45</v>
      </c>
      <c r="AS9" t="s">
        <v>267</v>
      </c>
      <c r="AT9" t="s">
        <v>888</v>
      </c>
      <c r="AY9">
        <v>-18</v>
      </c>
      <c r="BF9" t="s">
        <v>283</v>
      </c>
      <c r="BG9" t="s">
        <v>288</v>
      </c>
      <c r="BH9" t="s">
        <v>665</v>
      </c>
      <c r="BI9" t="s">
        <v>666</v>
      </c>
      <c r="BJ9" t="s">
        <v>665</v>
      </c>
      <c r="BK9" t="s">
        <v>207</v>
      </c>
      <c r="BQ9">
        <v>1</v>
      </c>
      <c r="BS9" t="s">
        <v>624</v>
      </c>
      <c r="BU9" t="s">
        <v>667</v>
      </c>
    </row>
    <row r="10" spans="1:142" x14ac:dyDescent="0.2">
      <c r="A10" t="s">
        <v>700</v>
      </c>
      <c r="B10" t="s">
        <v>211</v>
      </c>
      <c r="E10" t="str">
        <f>_xlfn.CONCAT(projectMetadata!$D$8,"_",sampleMetadata!A10)</f>
        <v>CROP_2024_0107</v>
      </c>
      <c r="F10" t="str">
        <f t="shared" si="0"/>
        <v>0107</v>
      </c>
      <c r="G10" t="str">
        <f t="shared" si="1"/>
        <v>0107</v>
      </c>
      <c r="H10" t="s">
        <v>865</v>
      </c>
      <c r="J10">
        <v>-0.81746413220000003</v>
      </c>
      <c r="K10">
        <v>54.304683900500002</v>
      </c>
      <c r="P10" t="s">
        <v>693</v>
      </c>
      <c r="Q10" s="7">
        <v>45306.552083333336</v>
      </c>
      <c r="R10" t="s">
        <v>663</v>
      </c>
      <c r="U10" t="s">
        <v>886</v>
      </c>
      <c r="V10" t="s">
        <v>664</v>
      </c>
      <c r="W10" t="s">
        <v>887</v>
      </c>
      <c r="X10" t="s">
        <v>207</v>
      </c>
      <c r="Y10" t="s">
        <v>883</v>
      </c>
      <c r="Z10" t="s">
        <v>884</v>
      </c>
      <c r="AA10">
        <v>2000</v>
      </c>
      <c r="AB10" t="s">
        <v>239</v>
      </c>
      <c r="AC10">
        <v>10</v>
      </c>
      <c r="AD10" t="s">
        <v>254</v>
      </c>
      <c r="AE10" t="s">
        <v>885</v>
      </c>
      <c r="AP10">
        <v>0.45</v>
      </c>
      <c r="AS10" t="s">
        <v>267</v>
      </c>
      <c r="AT10" t="s">
        <v>888</v>
      </c>
      <c r="AY10">
        <v>-18</v>
      </c>
      <c r="BF10" t="s">
        <v>283</v>
      </c>
      <c r="BG10" t="s">
        <v>288</v>
      </c>
      <c r="BH10" t="s">
        <v>665</v>
      </c>
      <c r="BI10" t="s">
        <v>666</v>
      </c>
      <c r="BJ10" t="s">
        <v>665</v>
      </c>
      <c r="BK10" t="s">
        <v>207</v>
      </c>
      <c r="BQ10">
        <v>1</v>
      </c>
      <c r="BS10" t="s">
        <v>624</v>
      </c>
      <c r="BU10" t="s">
        <v>668</v>
      </c>
    </row>
    <row r="11" spans="1:142" x14ac:dyDescent="0.2">
      <c r="A11" t="s">
        <v>701</v>
      </c>
      <c r="B11" t="s">
        <v>211</v>
      </c>
      <c r="E11" t="str">
        <f>_xlfn.CONCAT(projectMetadata!$D$8,"_",sampleMetadata!A11)</f>
        <v>CROP_2024_0108</v>
      </c>
      <c r="F11" t="str">
        <f t="shared" si="0"/>
        <v>0108</v>
      </c>
      <c r="G11" t="str">
        <f t="shared" si="1"/>
        <v>0108</v>
      </c>
      <c r="H11" t="s">
        <v>865</v>
      </c>
      <c r="J11">
        <v>-0.81789849059999997</v>
      </c>
      <c r="K11">
        <v>54.3045943399</v>
      </c>
      <c r="P11" t="s">
        <v>693</v>
      </c>
      <c r="Q11" s="7">
        <v>45306.548611111109</v>
      </c>
      <c r="R11" t="s">
        <v>663</v>
      </c>
      <c r="U11" t="s">
        <v>886</v>
      </c>
      <c r="V11" t="s">
        <v>664</v>
      </c>
      <c r="W11" t="s">
        <v>887</v>
      </c>
      <c r="X11" t="s">
        <v>207</v>
      </c>
      <c r="Y11" t="s">
        <v>883</v>
      </c>
      <c r="Z11" t="s">
        <v>884</v>
      </c>
      <c r="AA11">
        <v>2000</v>
      </c>
      <c r="AB11" t="s">
        <v>239</v>
      </c>
      <c r="AC11">
        <v>10</v>
      </c>
      <c r="AD11" t="s">
        <v>254</v>
      </c>
      <c r="AE11" t="s">
        <v>885</v>
      </c>
      <c r="AP11">
        <v>0.45</v>
      </c>
      <c r="AS11" t="s">
        <v>267</v>
      </c>
      <c r="AT11" t="s">
        <v>888</v>
      </c>
      <c r="AY11">
        <v>-18</v>
      </c>
      <c r="BF11" t="s">
        <v>283</v>
      </c>
      <c r="BG11" t="s">
        <v>288</v>
      </c>
      <c r="BH11" t="s">
        <v>665</v>
      </c>
      <c r="BI11" t="s">
        <v>666</v>
      </c>
      <c r="BJ11" t="s">
        <v>665</v>
      </c>
      <c r="BK11" t="s">
        <v>207</v>
      </c>
      <c r="BQ11">
        <v>1</v>
      </c>
      <c r="BS11" t="s">
        <v>624</v>
      </c>
      <c r="BU11" t="s">
        <v>668</v>
      </c>
    </row>
    <row r="12" spans="1:142" x14ac:dyDescent="0.2">
      <c r="A12" t="s">
        <v>702</v>
      </c>
      <c r="B12" t="s">
        <v>211</v>
      </c>
      <c r="E12" t="str">
        <f>_xlfn.CONCAT(projectMetadata!$D$8,"_",sampleMetadata!A12)</f>
        <v>CROP_2024_0109</v>
      </c>
      <c r="F12" t="str">
        <f t="shared" si="0"/>
        <v>0109</v>
      </c>
      <c r="G12" t="str">
        <f t="shared" si="1"/>
        <v>0109</v>
      </c>
      <c r="H12" t="s">
        <v>865</v>
      </c>
      <c r="J12">
        <v>-0.81844388800000001</v>
      </c>
      <c r="K12">
        <v>54.304359957000003</v>
      </c>
      <c r="P12" t="s">
        <v>693</v>
      </c>
      <c r="Q12" s="7">
        <v>45306.538194444445</v>
      </c>
      <c r="R12" t="s">
        <v>663</v>
      </c>
      <c r="U12" t="s">
        <v>886</v>
      </c>
      <c r="V12" t="s">
        <v>664</v>
      </c>
      <c r="W12" t="s">
        <v>887</v>
      </c>
      <c r="X12" t="s">
        <v>207</v>
      </c>
      <c r="Y12" t="s">
        <v>883</v>
      </c>
      <c r="Z12" t="s">
        <v>884</v>
      </c>
      <c r="AA12">
        <v>2000</v>
      </c>
      <c r="AB12" t="s">
        <v>239</v>
      </c>
      <c r="AC12">
        <v>10</v>
      </c>
      <c r="AD12" t="s">
        <v>254</v>
      </c>
      <c r="AE12" t="s">
        <v>885</v>
      </c>
      <c r="AP12">
        <v>0.45</v>
      </c>
      <c r="AS12" t="s">
        <v>267</v>
      </c>
      <c r="AT12" t="s">
        <v>888</v>
      </c>
      <c r="AY12">
        <v>-18</v>
      </c>
      <c r="BF12" t="s">
        <v>283</v>
      </c>
      <c r="BG12" t="s">
        <v>288</v>
      </c>
      <c r="BH12" t="s">
        <v>665</v>
      </c>
      <c r="BI12" t="s">
        <v>666</v>
      </c>
      <c r="BJ12" t="s">
        <v>665</v>
      </c>
      <c r="BK12" t="s">
        <v>207</v>
      </c>
      <c r="BQ12">
        <v>1</v>
      </c>
      <c r="BS12" t="s">
        <v>624</v>
      </c>
      <c r="BU12" t="s">
        <v>668</v>
      </c>
    </row>
    <row r="13" spans="1:142" x14ac:dyDescent="0.2">
      <c r="A13" t="s">
        <v>703</v>
      </c>
      <c r="B13" t="s">
        <v>211</v>
      </c>
      <c r="E13" t="str">
        <f>_xlfn.CONCAT(projectMetadata!$D$8,"_",sampleMetadata!A13)</f>
        <v>CROP_2024_0110</v>
      </c>
      <c r="F13" t="str">
        <f t="shared" si="0"/>
        <v>0110</v>
      </c>
      <c r="G13" t="str">
        <f t="shared" si="1"/>
        <v>0110</v>
      </c>
      <c r="H13" t="s">
        <v>865</v>
      </c>
      <c r="J13">
        <v>-0.81895989270000003</v>
      </c>
      <c r="K13">
        <v>54.304236095500002</v>
      </c>
      <c r="P13" t="s">
        <v>693</v>
      </c>
      <c r="Q13" s="7">
        <v>45306.527777777781</v>
      </c>
      <c r="R13" t="s">
        <v>663</v>
      </c>
      <c r="U13" t="s">
        <v>886</v>
      </c>
      <c r="V13" t="s">
        <v>664</v>
      </c>
      <c r="W13" t="s">
        <v>887</v>
      </c>
      <c r="X13" t="s">
        <v>207</v>
      </c>
      <c r="Y13" t="s">
        <v>883</v>
      </c>
      <c r="Z13" t="s">
        <v>884</v>
      </c>
      <c r="AA13">
        <v>2000</v>
      </c>
      <c r="AB13" t="s">
        <v>239</v>
      </c>
      <c r="AC13">
        <v>10</v>
      </c>
      <c r="AD13" t="s">
        <v>254</v>
      </c>
      <c r="AE13" t="s">
        <v>885</v>
      </c>
      <c r="AP13">
        <v>0.45</v>
      </c>
      <c r="AS13" t="s">
        <v>267</v>
      </c>
      <c r="AT13" t="s">
        <v>888</v>
      </c>
      <c r="AY13">
        <v>-18</v>
      </c>
      <c r="BF13" t="s">
        <v>283</v>
      </c>
      <c r="BG13" t="s">
        <v>288</v>
      </c>
      <c r="BH13" t="s">
        <v>665</v>
      </c>
      <c r="BI13" t="s">
        <v>666</v>
      </c>
      <c r="BJ13" t="s">
        <v>665</v>
      </c>
      <c r="BK13" t="s">
        <v>207</v>
      </c>
      <c r="BQ13">
        <v>1</v>
      </c>
      <c r="BS13" t="s">
        <v>624</v>
      </c>
      <c r="BU13" t="s">
        <v>668</v>
      </c>
    </row>
    <row r="14" spans="1:142" x14ac:dyDescent="0.2">
      <c r="A14" t="s">
        <v>704</v>
      </c>
      <c r="B14" t="s">
        <v>212</v>
      </c>
      <c r="C14" t="s">
        <v>220</v>
      </c>
      <c r="E14" t="str">
        <f>_xlfn.CONCAT(projectMetadata!$D$8,"_",sampleMetadata!A14)</f>
        <v>CROP_2024_01EB</v>
      </c>
      <c r="F14" t="str">
        <f t="shared" si="0"/>
        <v>01EB</v>
      </c>
      <c r="G14" t="str">
        <f t="shared" si="1"/>
        <v>01EB</v>
      </c>
      <c r="J14" s="8"/>
      <c r="K14" s="9"/>
      <c r="Q14" s="7"/>
      <c r="BF14" t="s">
        <v>283</v>
      </c>
      <c r="BG14" t="s">
        <v>288</v>
      </c>
      <c r="BH14" t="s">
        <v>665</v>
      </c>
      <c r="BI14" t="s">
        <v>666</v>
      </c>
      <c r="BJ14" t="s">
        <v>665</v>
      </c>
      <c r="BK14" t="s">
        <v>207</v>
      </c>
      <c r="BQ14">
        <v>1</v>
      </c>
      <c r="BS14" t="s">
        <v>624</v>
      </c>
      <c r="BU14" t="s">
        <v>668</v>
      </c>
    </row>
    <row r="15" spans="1:142" x14ac:dyDescent="0.2">
      <c r="A15" t="s">
        <v>705</v>
      </c>
      <c r="B15" t="s">
        <v>212</v>
      </c>
      <c r="C15" t="s">
        <v>218</v>
      </c>
      <c r="E15" t="str">
        <f>_xlfn.CONCAT(projectMetadata!$D$8,"_",sampleMetadata!A15)</f>
        <v>CROP_2024_01FB</v>
      </c>
      <c r="F15" t="str">
        <f t="shared" si="0"/>
        <v>01FB</v>
      </c>
      <c r="G15" t="str">
        <f t="shared" si="1"/>
        <v>01FB</v>
      </c>
      <c r="J15" s="8"/>
      <c r="K15" s="9"/>
      <c r="Q15" s="7"/>
      <c r="AP15">
        <v>0.45</v>
      </c>
      <c r="AS15" t="s">
        <v>267</v>
      </c>
      <c r="AT15" t="s">
        <v>888</v>
      </c>
      <c r="AY15">
        <v>-18</v>
      </c>
      <c r="BF15" t="s">
        <v>283</v>
      </c>
      <c r="BG15" t="s">
        <v>288</v>
      </c>
      <c r="BH15" t="s">
        <v>665</v>
      </c>
      <c r="BI15" t="s">
        <v>666</v>
      </c>
      <c r="BJ15" t="s">
        <v>665</v>
      </c>
      <c r="BK15" t="s">
        <v>207</v>
      </c>
      <c r="BQ15">
        <v>1</v>
      </c>
      <c r="BS15" t="s">
        <v>624</v>
      </c>
      <c r="BU15" t="s">
        <v>668</v>
      </c>
    </row>
    <row r="16" spans="1:142" x14ac:dyDescent="0.2">
      <c r="A16" t="s">
        <v>706</v>
      </c>
      <c r="B16" t="s">
        <v>211</v>
      </c>
      <c r="E16" t="str">
        <f>_xlfn.CONCAT(projectMetadata!$D$8,"_",sampleMetadata!A16)</f>
        <v>CROP_2024_0201</v>
      </c>
      <c r="F16" t="str">
        <f t="shared" si="0"/>
        <v>0201</v>
      </c>
      <c r="G16" t="str">
        <f t="shared" si="1"/>
        <v>0201</v>
      </c>
      <c r="H16" t="s">
        <v>866</v>
      </c>
      <c r="J16">
        <v>-0.81100264290000001</v>
      </c>
      <c r="K16">
        <v>54.305806249900002</v>
      </c>
      <c r="P16" t="s">
        <v>693</v>
      </c>
      <c r="Q16" s="7">
        <v>45336.708333333336</v>
      </c>
      <c r="R16" t="s">
        <v>663</v>
      </c>
      <c r="U16" t="s">
        <v>886</v>
      </c>
      <c r="V16" t="s">
        <v>664</v>
      </c>
      <c r="W16" t="s">
        <v>887</v>
      </c>
      <c r="X16" t="s">
        <v>207</v>
      </c>
      <c r="Y16" t="s">
        <v>883</v>
      </c>
      <c r="Z16" t="s">
        <v>884</v>
      </c>
      <c r="AA16">
        <v>2000</v>
      </c>
      <c r="AB16" t="s">
        <v>239</v>
      </c>
      <c r="AC16">
        <v>10</v>
      </c>
      <c r="AD16" t="s">
        <v>254</v>
      </c>
      <c r="AE16" t="s">
        <v>885</v>
      </c>
      <c r="AP16">
        <v>0.45</v>
      </c>
      <c r="AS16" t="s">
        <v>267</v>
      </c>
      <c r="AT16" t="s">
        <v>888</v>
      </c>
      <c r="AY16">
        <v>-18</v>
      </c>
      <c r="BF16" t="s">
        <v>283</v>
      </c>
      <c r="BG16" t="s">
        <v>288</v>
      </c>
      <c r="BH16" t="s">
        <v>665</v>
      </c>
      <c r="BI16" t="s">
        <v>666</v>
      </c>
      <c r="BJ16" t="s">
        <v>665</v>
      </c>
      <c r="BK16" t="s">
        <v>207</v>
      </c>
      <c r="BQ16">
        <v>1</v>
      </c>
      <c r="BS16" t="s">
        <v>624</v>
      </c>
      <c r="BU16" t="s">
        <v>668</v>
      </c>
    </row>
    <row r="17" spans="1:73" x14ac:dyDescent="0.2">
      <c r="A17" t="s">
        <v>707</v>
      </c>
      <c r="B17" t="s">
        <v>211</v>
      </c>
      <c r="E17" t="str">
        <f>_xlfn.CONCAT(projectMetadata!$D$8,"_",sampleMetadata!A17)</f>
        <v>CROP_2024_0202</v>
      </c>
      <c r="F17" t="str">
        <f t="shared" si="0"/>
        <v>0202</v>
      </c>
      <c r="G17" t="str">
        <f t="shared" si="1"/>
        <v>0202</v>
      </c>
      <c r="H17" t="s">
        <v>866</v>
      </c>
      <c r="J17">
        <v>-0.80960975670000002</v>
      </c>
      <c r="K17">
        <v>54.306324540200002</v>
      </c>
      <c r="P17" t="s">
        <v>693</v>
      </c>
      <c r="Q17" s="7">
        <v>45336.697916666664</v>
      </c>
      <c r="R17" t="s">
        <v>663</v>
      </c>
      <c r="U17" t="s">
        <v>886</v>
      </c>
      <c r="V17" t="s">
        <v>664</v>
      </c>
      <c r="W17" t="s">
        <v>887</v>
      </c>
      <c r="X17" t="s">
        <v>207</v>
      </c>
      <c r="Y17" t="s">
        <v>883</v>
      </c>
      <c r="Z17" t="s">
        <v>884</v>
      </c>
      <c r="AA17">
        <v>2000</v>
      </c>
      <c r="AB17" t="s">
        <v>239</v>
      </c>
      <c r="AC17">
        <v>10</v>
      </c>
      <c r="AD17" t="s">
        <v>254</v>
      </c>
      <c r="AE17" t="s">
        <v>885</v>
      </c>
      <c r="AP17">
        <v>0.45</v>
      </c>
      <c r="AS17" t="s">
        <v>267</v>
      </c>
      <c r="AT17" t="s">
        <v>888</v>
      </c>
      <c r="AY17">
        <v>-18</v>
      </c>
      <c r="BF17" t="s">
        <v>283</v>
      </c>
      <c r="BG17" t="s">
        <v>288</v>
      </c>
      <c r="BH17" t="s">
        <v>665</v>
      </c>
      <c r="BI17" t="s">
        <v>666</v>
      </c>
      <c r="BJ17" t="s">
        <v>665</v>
      </c>
      <c r="BK17" t="s">
        <v>207</v>
      </c>
      <c r="BQ17">
        <v>1</v>
      </c>
      <c r="BS17" t="s">
        <v>624</v>
      </c>
      <c r="BU17" t="s">
        <v>668</v>
      </c>
    </row>
    <row r="18" spans="1:73" x14ac:dyDescent="0.2">
      <c r="A18" t="s">
        <v>708</v>
      </c>
      <c r="B18" t="s">
        <v>211</v>
      </c>
      <c r="E18" t="str">
        <f>_xlfn.CONCAT(projectMetadata!$D$8,"_",sampleMetadata!A18)</f>
        <v>CROP_2024_0203</v>
      </c>
      <c r="F18" t="str">
        <f t="shared" si="0"/>
        <v>0203</v>
      </c>
      <c r="G18" t="str">
        <f t="shared" si="1"/>
        <v>0203</v>
      </c>
      <c r="H18" t="s">
        <v>866</v>
      </c>
      <c r="J18">
        <v>-0.81187299260000001</v>
      </c>
      <c r="K18">
        <v>54.305987271100001</v>
      </c>
      <c r="P18" t="s">
        <v>693</v>
      </c>
      <c r="Q18" s="7">
        <v>45336.6875</v>
      </c>
      <c r="R18" t="s">
        <v>663</v>
      </c>
      <c r="U18" t="s">
        <v>886</v>
      </c>
      <c r="V18" t="s">
        <v>664</v>
      </c>
      <c r="W18" t="s">
        <v>887</v>
      </c>
      <c r="X18" t="s">
        <v>207</v>
      </c>
      <c r="Y18" t="s">
        <v>883</v>
      </c>
      <c r="Z18" t="s">
        <v>884</v>
      </c>
      <c r="AA18">
        <v>2000</v>
      </c>
      <c r="AB18" t="s">
        <v>239</v>
      </c>
      <c r="AC18">
        <v>10</v>
      </c>
      <c r="AD18" t="s">
        <v>254</v>
      </c>
      <c r="AE18" t="s">
        <v>885</v>
      </c>
      <c r="AP18">
        <v>0.45</v>
      </c>
      <c r="AS18" t="s">
        <v>267</v>
      </c>
      <c r="AT18" t="s">
        <v>888</v>
      </c>
      <c r="AY18">
        <v>-18</v>
      </c>
      <c r="BF18" t="s">
        <v>283</v>
      </c>
      <c r="BG18" t="s">
        <v>288</v>
      </c>
      <c r="BH18" t="s">
        <v>665</v>
      </c>
      <c r="BI18" t="s">
        <v>666</v>
      </c>
      <c r="BJ18" t="s">
        <v>665</v>
      </c>
      <c r="BK18" t="s">
        <v>207</v>
      </c>
      <c r="BQ18">
        <v>1</v>
      </c>
      <c r="BS18" t="s">
        <v>624</v>
      </c>
      <c r="BU18" t="s">
        <v>668</v>
      </c>
    </row>
    <row r="19" spans="1:73" x14ac:dyDescent="0.2">
      <c r="A19" t="s">
        <v>709</v>
      </c>
      <c r="B19" t="s">
        <v>211</v>
      </c>
      <c r="E19" t="str">
        <f>_xlfn.CONCAT(projectMetadata!$D$8,"_",sampleMetadata!A19)</f>
        <v>CROP_2024_0204</v>
      </c>
      <c r="F19" t="str">
        <f t="shared" si="0"/>
        <v>0204</v>
      </c>
      <c r="G19" t="str">
        <f t="shared" si="1"/>
        <v>0204</v>
      </c>
      <c r="H19" t="s">
        <v>866</v>
      </c>
      <c r="J19">
        <v>-0.81155620490000002</v>
      </c>
      <c r="K19">
        <v>54.305646188399997</v>
      </c>
      <c r="P19" t="s">
        <v>693</v>
      </c>
      <c r="Q19" s="7">
        <v>45336.680555555555</v>
      </c>
      <c r="R19" t="s">
        <v>663</v>
      </c>
      <c r="U19" t="s">
        <v>886</v>
      </c>
      <c r="V19" t="s">
        <v>664</v>
      </c>
      <c r="W19" t="s">
        <v>887</v>
      </c>
      <c r="X19" t="s">
        <v>207</v>
      </c>
      <c r="Y19" t="s">
        <v>883</v>
      </c>
      <c r="Z19" t="s">
        <v>884</v>
      </c>
      <c r="AA19">
        <v>2000</v>
      </c>
      <c r="AB19" t="s">
        <v>239</v>
      </c>
      <c r="AC19">
        <v>10</v>
      </c>
      <c r="AD19" t="s">
        <v>254</v>
      </c>
      <c r="AE19" t="s">
        <v>885</v>
      </c>
      <c r="AP19">
        <v>0.45</v>
      </c>
      <c r="AS19" t="s">
        <v>267</v>
      </c>
      <c r="AT19" t="s">
        <v>888</v>
      </c>
      <c r="AY19">
        <v>-18</v>
      </c>
      <c r="BF19" t="s">
        <v>283</v>
      </c>
      <c r="BG19" t="s">
        <v>288</v>
      </c>
      <c r="BH19" t="s">
        <v>665</v>
      </c>
      <c r="BI19" t="s">
        <v>666</v>
      </c>
      <c r="BJ19" t="s">
        <v>665</v>
      </c>
      <c r="BK19" t="s">
        <v>207</v>
      </c>
      <c r="BQ19">
        <v>1</v>
      </c>
      <c r="BS19" t="s">
        <v>624</v>
      </c>
      <c r="BU19" t="s">
        <v>668</v>
      </c>
    </row>
    <row r="20" spans="1:73" x14ac:dyDescent="0.2">
      <c r="A20" t="s">
        <v>710</v>
      </c>
      <c r="B20" t="s">
        <v>211</v>
      </c>
      <c r="E20" t="str">
        <f>_xlfn.CONCAT(projectMetadata!$D$8,"_",sampleMetadata!A20)</f>
        <v>CROP_2024_0205</v>
      </c>
      <c r="F20" t="str">
        <f t="shared" si="0"/>
        <v>0205</v>
      </c>
      <c r="G20" t="str">
        <f t="shared" si="1"/>
        <v>0205</v>
      </c>
      <c r="H20" t="s">
        <v>867</v>
      </c>
      <c r="J20">
        <v>-0.81322505560000002</v>
      </c>
      <c r="K20">
        <v>54.305209826999999</v>
      </c>
      <c r="P20" t="s">
        <v>693</v>
      </c>
      <c r="Q20" s="7">
        <v>45336.666666666664</v>
      </c>
      <c r="R20" t="s">
        <v>663</v>
      </c>
      <c r="U20" t="s">
        <v>886</v>
      </c>
      <c r="V20" t="s">
        <v>664</v>
      </c>
      <c r="W20" t="s">
        <v>887</v>
      </c>
      <c r="X20" t="s">
        <v>207</v>
      </c>
      <c r="Y20" t="s">
        <v>883</v>
      </c>
      <c r="Z20" t="s">
        <v>884</v>
      </c>
      <c r="AA20">
        <v>2000</v>
      </c>
      <c r="AB20" t="s">
        <v>239</v>
      </c>
      <c r="AC20">
        <v>10</v>
      </c>
      <c r="AD20" t="s">
        <v>254</v>
      </c>
      <c r="AE20" t="s">
        <v>885</v>
      </c>
      <c r="AP20">
        <v>0.45</v>
      </c>
      <c r="AS20" t="s">
        <v>267</v>
      </c>
      <c r="AT20" t="s">
        <v>888</v>
      </c>
      <c r="AY20">
        <v>-18</v>
      </c>
      <c r="BF20" t="s">
        <v>283</v>
      </c>
      <c r="BG20" t="s">
        <v>288</v>
      </c>
      <c r="BH20" t="s">
        <v>665</v>
      </c>
      <c r="BI20" t="s">
        <v>666</v>
      </c>
      <c r="BJ20" t="s">
        <v>665</v>
      </c>
      <c r="BK20" t="s">
        <v>207</v>
      </c>
      <c r="BQ20">
        <v>1</v>
      </c>
      <c r="BS20" t="s">
        <v>624</v>
      </c>
      <c r="BU20" t="s">
        <v>668</v>
      </c>
    </row>
    <row r="21" spans="1:73" x14ac:dyDescent="0.2">
      <c r="A21" t="s">
        <v>711</v>
      </c>
      <c r="B21" t="s">
        <v>211</v>
      </c>
      <c r="E21" t="str">
        <f>_xlfn.CONCAT(projectMetadata!$D$8,"_",sampleMetadata!A21)</f>
        <v>CROP_2024_0206</v>
      </c>
      <c r="F21" t="str">
        <f t="shared" si="0"/>
        <v>0206</v>
      </c>
      <c r="G21" t="str">
        <f t="shared" si="1"/>
        <v>0206</v>
      </c>
      <c r="H21" t="s">
        <v>867</v>
      </c>
      <c r="J21">
        <v>-0.81573976209999999</v>
      </c>
      <c r="K21">
        <v>54.304996408400001</v>
      </c>
      <c r="P21" t="s">
        <v>693</v>
      </c>
      <c r="Q21" s="7">
        <v>45336.659722222219</v>
      </c>
      <c r="R21" t="s">
        <v>663</v>
      </c>
      <c r="U21" t="s">
        <v>886</v>
      </c>
      <c r="V21" t="s">
        <v>664</v>
      </c>
      <c r="W21" t="s">
        <v>887</v>
      </c>
      <c r="X21" t="s">
        <v>207</v>
      </c>
      <c r="Y21" t="s">
        <v>883</v>
      </c>
      <c r="Z21" t="s">
        <v>884</v>
      </c>
      <c r="AA21">
        <v>2000</v>
      </c>
      <c r="AB21" t="s">
        <v>239</v>
      </c>
      <c r="AC21">
        <v>10</v>
      </c>
      <c r="AD21" t="s">
        <v>254</v>
      </c>
      <c r="AE21" t="s">
        <v>885</v>
      </c>
      <c r="AP21">
        <v>0.45</v>
      </c>
      <c r="AS21" t="s">
        <v>267</v>
      </c>
      <c r="AT21" t="s">
        <v>888</v>
      </c>
      <c r="AY21">
        <v>-18</v>
      </c>
      <c r="BF21" t="s">
        <v>283</v>
      </c>
      <c r="BG21" t="s">
        <v>288</v>
      </c>
      <c r="BH21" t="s">
        <v>665</v>
      </c>
      <c r="BI21" t="s">
        <v>666</v>
      </c>
      <c r="BJ21" t="s">
        <v>665</v>
      </c>
      <c r="BK21" t="s">
        <v>207</v>
      </c>
      <c r="BQ21">
        <v>1</v>
      </c>
      <c r="BS21" t="s">
        <v>624</v>
      </c>
      <c r="BU21" t="s">
        <v>668</v>
      </c>
    </row>
    <row r="22" spans="1:73" x14ac:dyDescent="0.2">
      <c r="A22" t="s">
        <v>712</v>
      </c>
      <c r="B22" t="s">
        <v>211</v>
      </c>
      <c r="E22" t="str">
        <f>_xlfn.CONCAT(projectMetadata!$D$8,"_",sampleMetadata!A22)</f>
        <v>CROP_2024_0207</v>
      </c>
      <c r="F22" t="str">
        <f t="shared" si="0"/>
        <v>0207</v>
      </c>
      <c r="G22" t="str">
        <f t="shared" si="1"/>
        <v>0207</v>
      </c>
      <c r="H22" t="s">
        <v>866</v>
      </c>
      <c r="J22">
        <v>-0.81746413220000003</v>
      </c>
      <c r="K22">
        <v>54.304683900500002</v>
      </c>
      <c r="P22" t="s">
        <v>693</v>
      </c>
      <c r="Q22" s="7">
        <v>45336.645833333336</v>
      </c>
      <c r="R22" t="s">
        <v>663</v>
      </c>
      <c r="U22" t="s">
        <v>886</v>
      </c>
      <c r="V22" t="s">
        <v>664</v>
      </c>
      <c r="W22" t="s">
        <v>887</v>
      </c>
      <c r="X22" t="s">
        <v>207</v>
      </c>
      <c r="Y22" t="s">
        <v>883</v>
      </c>
      <c r="Z22" t="s">
        <v>884</v>
      </c>
      <c r="AA22">
        <v>2000</v>
      </c>
      <c r="AB22" t="s">
        <v>239</v>
      </c>
      <c r="AC22">
        <v>10</v>
      </c>
      <c r="AD22" t="s">
        <v>254</v>
      </c>
      <c r="AE22" t="s">
        <v>885</v>
      </c>
      <c r="AP22">
        <v>0.45</v>
      </c>
      <c r="AS22" t="s">
        <v>267</v>
      </c>
      <c r="AT22" t="s">
        <v>888</v>
      </c>
      <c r="AY22">
        <v>-18</v>
      </c>
      <c r="BF22" t="s">
        <v>283</v>
      </c>
      <c r="BG22" t="s">
        <v>288</v>
      </c>
      <c r="BH22" t="s">
        <v>665</v>
      </c>
      <c r="BI22" t="s">
        <v>666</v>
      </c>
      <c r="BJ22" t="s">
        <v>665</v>
      </c>
      <c r="BK22" t="s">
        <v>207</v>
      </c>
      <c r="BQ22">
        <v>1</v>
      </c>
      <c r="BS22" t="s">
        <v>624</v>
      </c>
      <c r="BU22" t="s">
        <v>668</v>
      </c>
    </row>
    <row r="23" spans="1:73" x14ac:dyDescent="0.2">
      <c r="A23" t="s">
        <v>713</v>
      </c>
      <c r="B23" t="s">
        <v>211</v>
      </c>
      <c r="E23" t="str">
        <f>_xlfn.CONCAT(projectMetadata!$D$8,"_",sampleMetadata!A23)</f>
        <v>CROP_2024_0208</v>
      </c>
      <c r="F23" t="str">
        <f t="shared" si="0"/>
        <v>0208</v>
      </c>
      <c r="G23" t="str">
        <f t="shared" si="1"/>
        <v>0208</v>
      </c>
      <c r="H23" t="s">
        <v>866</v>
      </c>
      <c r="J23">
        <v>-0.81789849059999997</v>
      </c>
      <c r="K23">
        <v>54.3045943399</v>
      </c>
      <c r="P23" t="s">
        <v>693</v>
      </c>
      <c r="Q23" s="7">
        <v>45336.638888888891</v>
      </c>
      <c r="R23" t="s">
        <v>663</v>
      </c>
      <c r="U23" t="s">
        <v>886</v>
      </c>
      <c r="V23" t="s">
        <v>664</v>
      </c>
      <c r="W23" t="s">
        <v>887</v>
      </c>
      <c r="X23" t="s">
        <v>207</v>
      </c>
      <c r="Y23" t="s">
        <v>883</v>
      </c>
      <c r="Z23" t="s">
        <v>884</v>
      </c>
      <c r="AA23">
        <v>2000</v>
      </c>
      <c r="AB23" t="s">
        <v>239</v>
      </c>
      <c r="AC23">
        <v>10</v>
      </c>
      <c r="AD23" t="s">
        <v>254</v>
      </c>
      <c r="AE23" t="s">
        <v>885</v>
      </c>
      <c r="AP23">
        <v>0.45</v>
      </c>
      <c r="AS23" t="s">
        <v>267</v>
      </c>
      <c r="AT23" t="s">
        <v>888</v>
      </c>
      <c r="AY23">
        <v>-18</v>
      </c>
      <c r="BF23" t="s">
        <v>283</v>
      </c>
      <c r="BG23" t="s">
        <v>288</v>
      </c>
      <c r="BH23" t="s">
        <v>665</v>
      </c>
      <c r="BI23" t="s">
        <v>666</v>
      </c>
      <c r="BJ23" t="s">
        <v>665</v>
      </c>
      <c r="BK23" t="s">
        <v>207</v>
      </c>
      <c r="BQ23">
        <v>1</v>
      </c>
      <c r="BS23" t="s">
        <v>624</v>
      </c>
      <c r="BU23" t="s">
        <v>668</v>
      </c>
    </row>
    <row r="24" spans="1:73" x14ac:dyDescent="0.2">
      <c r="A24" t="s">
        <v>714</v>
      </c>
      <c r="B24" t="s">
        <v>211</v>
      </c>
      <c r="E24" t="str">
        <f>_xlfn.CONCAT(projectMetadata!$D$8,"_",sampleMetadata!A24)</f>
        <v>CROP_2024_0209</v>
      </c>
      <c r="F24" t="str">
        <f t="shared" si="0"/>
        <v>0209</v>
      </c>
      <c r="G24" t="str">
        <f t="shared" si="1"/>
        <v>0209</v>
      </c>
      <c r="H24" t="s">
        <v>866</v>
      </c>
      <c r="J24">
        <v>-0.81844388800000001</v>
      </c>
      <c r="K24">
        <v>54.304359957000003</v>
      </c>
      <c r="P24" t="s">
        <v>693</v>
      </c>
      <c r="Q24" s="7">
        <v>45336.625</v>
      </c>
      <c r="R24" t="s">
        <v>663</v>
      </c>
      <c r="U24" t="s">
        <v>886</v>
      </c>
      <c r="V24" t="s">
        <v>664</v>
      </c>
      <c r="W24" t="s">
        <v>887</v>
      </c>
      <c r="X24" t="s">
        <v>207</v>
      </c>
      <c r="Y24" t="s">
        <v>883</v>
      </c>
      <c r="Z24" t="s">
        <v>884</v>
      </c>
      <c r="AA24">
        <v>2000</v>
      </c>
      <c r="AB24" t="s">
        <v>239</v>
      </c>
      <c r="AC24">
        <v>10</v>
      </c>
      <c r="AD24" t="s">
        <v>254</v>
      </c>
      <c r="AE24" t="s">
        <v>885</v>
      </c>
      <c r="AP24">
        <v>0.45</v>
      </c>
      <c r="AS24" t="s">
        <v>267</v>
      </c>
      <c r="AT24" t="s">
        <v>888</v>
      </c>
      <c r="AY24">
        <v>-18</v>
      </c>
      <c r="BF24" t="s">
        <v>283</v>
      </c>
      <c r="BG24" t="s">
        <v>288</v>
      </c>
      <c r="BH24" t="s">
        <v>665</v>
      </c>
      <c r="BI24" t="s">
        <v>666</v>
      </c>
      <c r="BJ24" t="s">
        <v>665</v>
      </c>
      <c r="BK24" t="s">
        <v>207</v>
      </c>
      <c r="BQ24">
        <v>1</v>
      </c>
      <c r="BS24" t="s">
        <v>624</v>
      </c>
      <c r="BU24" t="s">
        <v>668</v>
      </c>
    </row>
    <row r="25" spans="1:73" x14ac:dyDescent="0.2">
      <c r="A25" t="s">
        <v>715</v>
      </c>
      <c r="B25" t="s">
        <v>211</v>
      </c>
      <c r="E25" t="str">
        <f>_xlfn.CONCAT(projectMetadata!$D$8,"_",sampleMetadata!A25)</f>
        <v>CROP_2024_0210</v>
      </c>
      <c r="F25" t="str">
        <f t="shared" si="0"/>
        <v>0210</v>
      </c>
      <c r="G25" t="str">
        <f t="shared" si="1"/>
        <v>0210</v>
      </c>
      <c r="H25" t="s">
        <v>866</v>
      </c>
      <c r="J25">
        <v>-0.81895989270000003</v>
      </c>
      <c r="K25">
        <v>54.304236095500002</v>
      </c>
      <c r="P25" t="s">
        <v>693</v>
      </c>
      <c r="Q25" s="7">
        <v>45336.611111111109</v>
      </c>
      <c r="R25" t="s">
        <v>663</v>
      </c>
      <c r="U25" t="s">
        <v>886</v>
      </c>
      <c r="V25" t="s">
        <v>664</v>
      </c>
      <c r="W25" t="s">
        <v>887</v>
      </c>
      <c r="X25" t="s">
        <v>207</v>
      </c>
      <c r="Y25" t="s">
        <v>883</v>
      </c>
      <c r="Z25" t="s">
        <v>884</v>
      </c>
      <c r="AA25">
        <v>2000</v>
      </c>
      <c r="AB25" t="s">
        <v>239</v>
      </c>
      <c r="AC25">
        <v>10</v>
      </c>
      <c r="AD25" t="s">
        <v>254</v>
      </c>
      <c r="AE25" t="s">
        <v>885</v>
      </c>
      <c r="AP25">
        <v>0.45</v>
      </c>
      <c r="AS25" t="s">
        <v>267</v>
      </c>
      <c r="AT25" t="s">
        <v>888</v>
      </c>
      <c r="AY25">
        <v>-18</v>
      </c>
      <c r="BF25" t="s">
        <v>283</v>
      </c>
      <c r="BG25" t="s">
        <v>288</v>
      </c>
      <c r="BH25" t="s">
        <v>665</v>
      </c>
      <c r="BI25" t="s">
        <v>666</v>
      </c>
      <c r="BJ25" t="s">
        <v>665</v>
      </c>
      <c r="BK25" t="s">
        <v>207</v>
      </c>
      <c r="BQ25">
        <v>1</v>
      </c>
      <c r="BS25" t="s">
        <v>624</v>
      </c>
      <c r="BU25" t="s">
        <v>668</v>
      </c>
    </row>
    <row r="26" spans="1:73" x14ac:dyDescent="0.2">
      <c r="A26" t="s">
        <v>716</v>
      </c>
      <c r="B26" t="s">
        <v>211</v>
      </c>
      <c r="E26" t="str">
        <f>_xlfn.CONCAT(projectMetadata!$D$8,"_",sampleMetadata!A26)</f>
        <v>CROP_2024_0211</v>
      </c>
      <c r="F26" t="str">
        <f t="shared" si="0"/>
        <v>0211</v>
      </c>
      <c r="G26" t="str">
        <f t="shared" si="1"/>
        <v>0211</v>
      </c>
      <c r="H26" t="s">
        <v>867</v>
      </c>
      <c r="J26">
        <v>-0.81992500000000001</v>
      </c>
      <c r="K26">
        <v>54.304091</v>
      </c>
      <c r="P26" t="s">
        <v>693</v>
      </c>
      <c r="Q26" s="7">
        <v>45336.541666666664</v>
      </c>
      <c r="R26" t="s">
        <v>663</v>
      </c>
      <c r="U26" t="s">
        <v>886</v>
      </c>
      <c r="V26" t="s">
        <v>664</v>
      </c>
      <c r="W26" t="s">
        <v>887</v>
      </c>
      <c r="X26" t="s">
        <v>207</v>
      </c>
      <c r="Y26" t="s">
        <v>883</v>
      </c>
      <c r="Z26" t="s">
        <v>884</v>
      </c>
      <c r="AA26">
        <v>2000</v>
      </c>
      <c r="AB26" t="s">
        <v>239</v>
      </c>
      <c r="AC26">
        <v>10</v>
      </c>
      <c r="AD26" t="s">
        <v>254</v>
      </c>
      <c r="AE26" t="s">
        <v>885</v>
      </c>
      <c r="AP26">
        <v>0.45</v>
      </c>
      <c r="AS26" t="s">
        <v>267</v>
      </c>
      <c r="AT26" t="s">
        <v>888</v>
      </c>
      <c r="AY26">
        <v>-18</v>
      </c>
      <c r="BF26" t="s">
        <v>283</v>
      </c>
      <c r="BG26" t="s">
        <v>288</v>
      </c>
      <c r="BH26" t="s">
        <v>665</v>
      </c>
      <c r="BI26" t="s">
        <v>666</v>
      </c>
      <c r="BJ26" t="s">
        <v>665</v>
      </c>
      <c r="BK26" t="s">
        <v>207</v>
      </c>
      <c r="BQ26">
        <v>1</v>
      </c>
      <c r="BS26" t="s">
        <v>624</v>
      </c>
      <c r="BU26" t="s">
        <v>669</v>
      </c>
    </row>
    <row r="27" spans="1:73" x14ac:dyDescent="0.2">
      <c r="A27" t="s">
        <v>717</v>
      </c>
      <c r="B27" t="s">
        <v>211</v>
      </c>
      <c r="E27" t="str">
        <f>_xlfn.CONCAT(projectMetadata!$D$8,"_",sampleMetadata!A27)</f>
        <v>CROP_2024_0212</v>
      </c>
      <c r="F27" t="str">
        <f t="shared" si="0"/>
        <v>0212</v>
      </c>
      <c r="G27" t="str">
        <f t="shared" si="1"/>
        <v>0212</v>
      </c>
      <c r="H27" t="s">
        <v>867</v>
      </c>
      <c r="J27">
        <v>-0.82961300000000004</v>
      </c>
      <c r="K27">
        <v>54.303711999999997</v>
      </c>
      <c r="P27" t="s">
        <v>693</v>
      </c>
      <c r="Q27" s="7">
        <v>45336.53125</v>
      </c>
      <c r="R27" t="s">
        <v>663</v>
      </c>
      <c r="U27" t="s">
        <v>886</v>
      </c>
      <c r="V27" t="s">
        <v>664</v>
      </c>
      <c r="W27" t="s">
        <v>887</v>
      </c>
      <c r="X27" t="s">
        <v>207</v>
      </c>
      <c r="Y27" t="s">
        <v>883</v>
      </c>
      <c r="Z27" t="s">
        <v>884</v>
      </c>
      <c r="AA27">
        <v>2000</v>
      </c>
      <c r="AB27" t="s">
        <v>239</v>
      </c>
      <c r="AC27">
        <v>10</v>
      </c>
      <c r="AD27" t="s">
        <v>254</v>
      </c>
      <c r="AE27" t="s">
        <v>885</v>
      </c>
      <c r="AP27">
        <v>0.45</v>
      </c>
      <c r="AS27" t="s">
        <v>267</v>
      </c>
      <c r="AT27" t="s">
        <v>888</v>
      </c>
      <c r="AY27">
        <v>-18</v>
      </c>
      <c r="BF27" t="s">
        <v>283</v>
      </c>
      <c r="BG27" t="s">
        <v>288</v>
      </c>
      <c r="BH27" t="s">
        <v>665</v>
      </c>
      <c r="BI27" t="s">
        <v>666</v>
      </c>
      <c r="BJ27" t="s">
        <v>665</v>
      </c>
      <c r="BK27" t="s">
        <v>207</v>
      </c>
      <c r="BQ27">
        <v>1</v>
      </c>
      <c r="BS27" t="s">
        <v>624</v>
      </c>
      <c r="BU27" t="s">
        <v>669</v>
      </c>
    </row>
    <row r="28" spans="1:73" x14ac:dyDescent="0.2">
      <c r="A28" t="s">
        <v>718</v>
      </c>
      <c r="B28" t="s">
        <v>211</v>
      </c>
      <c r="E28" t="str">
        <f>_xlfn.CONCAT(projectMetadata!$D$8,"_",sampleMetadata!A28)</f>
        <v>CROP_2024_0213</v>
      </c>
      <c r="F28" t="str">
        <f t="shared" si="0"/>
        <v>0213</v>
      </c>
      <c r="G28" t="str">
        <f t="shared" si="1"/>
        <v>0213</v>
      </c>
      <c r="H28" t="s">
        <v>867</v>
      </c>
      <c r="J28">
        <v>-0.84197299999999997</v>
      </c>
      <c r="K28">
        <v>54.301808999999999</v>
      </c>
      <c r="P28" t="s">
        <v>693</v>
      </c>
      <c r="Q28" s="7">
        <v>45336.5</v>
      </c>
      <c r="R28" t="s">
        <v>663</v>
      </c>
      <c r="U28" t="s">
        <v>886</v>
      </c>
      <c r="V28" t="s">
        <v>664</v>
      </c>
      <c r="W28" t="s">
        <v>887</v>
      </c>
      <c r="X28" t="s">
        <v>207</v>
      </c>
      <c r="Y28" t="s">
        <v>883</v>
      </c>
      <c r="Z28" t="s">
        <v>884</v>
      </c>
      <c r="AA28">
        <v>2000</v>
      </c>
      <c r="AB28" t="s">
        <v>239</v>
      </c>
      <c r="AC28">
        <v>10</v>
      </c>
      <c r="AD28" t="s">
        <v>254</v>
      </c>
      <c r="AE28" t="s">
        <v>885</v>
      </c>
      <c r="AP28">
        <v>0.45</v>
      </c>
      <c r="AS28" t="s">
        <v>267</v>
      </c>
      <c r="AT28" t="s">
        <v>888</v>
      </c>
      <c r="AY28">
        <v>-18</v>
      </c>
      <c r="BF28" t="s">
        <v>283</v>
      </c>
      <c r="BG28" t="s">
        <v>288</v>
      </c>
      <c r="BH28" t="s">
        <v>665</v>
      </c>
      <c r="BI28" t="s">
        <v>666</v>
      </c>
      <c r="BJ28" t="s">
        <v>665</v>
      </c>
      <c r="BK28" t="s">
        <v>207</v>
      </c>
      <c r="BQ28">
        <v>1</v>
      </c>
      <c r="BS28" t="s">
        <v>624</v>
      </c>
      <c r="BU28" t="s">
        <v>669</v>
      </c>
    </row>
    <row r="29" spans="1:73" x14ac:dyDescent="0.2">
      <c r="A29" t="s">
        <v>719</v>
      </c>
      <c r="B29" t="s">
        <v>211</v>
      </c>
      <c r="E29" t="str">
        <f>_xlfn.CONCAT(projectMetadata!$D$8,"_",sampleMetadata!A29)</f>
        <v>CROP_2024_0214</v>
      </c>
      <c r="F29" t="str">
        <f t="shared" si="0"/>
        <v>0214</v>
      </c>
      <c r="G29" t="str">
        <f t="shared" si="1"/>
        <v>0214</v>
      </c>
      <c r="H29" t="s">
        <v>867</v>
      </c>
      <c r="J29">
        <v>-0.84570699999999999</v>
      </c>
      <c r="K29">
        <v>54.295704999999998</v>
      </c>
      <c r="P29" t="s">
        <v>693</v>
      </c>
      <c r="Q29" s="7">
        <v>45336.472222222219</v>
      </c>
      <c r="R29" t="s">
        <v>663</v>
      </c>
      <c r="U29" t="s">
        <v>886</v>
      </c>
      <c r="V29" t="s">
        <v>664</v>
      </c>
      <c r="W29" t="s">
        <v>887</v>
      </c>
      <c r="X29" t="s">
        <v>207</v>
      </c>
      <c r="Y29" t="s">
        <v>883</v>
      </c>
      <c r="Z29" t="s">
        <v>884</v>
      </c>
      <c r="AA29">
        <v>2000</v>
      </c>
      <c r="AB29" t="s">
        <v>239</v>
      </c>
      <c r="AC29">
        <v>10</v>
      </c>
      <c r="AD29" t="s">
        <v>254</v>
      </c>
      <c r="AE29" t="s">
        <v>885</v>
      </c>
      <c r="AP29">
        <v>0.45</v>
      </c>
      <c r="AS29" t="s">
        <v>267</v>
      </c>
      <c r="AT29" t="s">
        <v>888</v>
      </c>
      <c r="AY29">
        <v>-18</v>
      </c>
      <c r="BF29" t="s">
        <v>283</v>
      </c>
      <c r="BG29" t="s">
        <v>288</v>
      </c>
      <c r="BH29" t="s">
        <v>665</v>
      </c>
      <c r="BI29" t="s">
        <v>666</v>
      </c>
      <c r="BJ29" t="s">
        <v>665</v>
      </c>
      <c r="BK29" t="s">
        <v>207</v>
      </c>
      <c r="BQ29">
        <v>1</v>
      </c>
      <c r="BS29" t="s">
        <v>624</v>
      </c>
      <c r="BU29" t="s">
        <v>669</v>
      </c>
    </row>
    <row r="30" spans="1:73" x14ac:dyDescent="0.2">
      <c r="A30" t="s">
        <v>720</v>
      </c>
      <c r="B30" t="s">
        <v>212</v>
      </c>
      <c r="C30" t="s">
        <v>220</v>
      </c>
      <c r="E30" t="str">
        <f>_xlfn.CONCAT(projectMetadata!$D$8,"_",sampleMetadata!A30)</f>
        <v>CROP_2024_02EB</v>
      </c>
      <c r="F30" t="str">
        <f t="shared" si="0"/>
        <v>02EB</v>
      </c>
      <c r="G30" t="str">
        <f t="shared" si="1"/>
        <v>02EB</v>
      </c>
      <c r="J30" s="8"/>
      <c r="K30" s="9"/>
      <c r="Q30" s="7"/>
      <c r="BF30" t="s">
        <v>283</v>
      </c>
      <c r="BG30" t="s">
        <v>288</v>
      </c>
      <c r="BH30" t="s">
        <v>665</v>
      </c>
      <c r="BI30" t="s">
        <v>666</v>
      </c>
      <c r="BJ30" t="s">
        <v>665</v>
      </c>
      <c r="BK30" t="s">
        <v>207</v>
      </c>
      <c r="BQ30">
        <v>1</v>
      </c>
      <c r="BS30" t="s">
        <v>624</v>
      </c>
      <c r="BU30" t="s">
        <v>669</v>
      </c>
    </row>
    <row r="31" spans="1:73" x14ac:dyDescent="0.2">
      <c r="A31" t="s">
        <v>721</v>
      </c>
      <c r="B31" t="s">
        <v>212</v>
      </c>
      <c r="C31" t="s">
        <v>218</v>
      </c>
      <c r="E31" t="str">
        <f>_xlfn.CONCAT(projectMetadata!$D$8,"_",sampleMetadata!A31)</f>
        <v>CROP_2024_02FB</v>
      </c>
      <c r="F31" t="str">
        <f t="shared" si="0"/>
        <v>02FB</v>
      </c>
      <c r="G31" t="str">
        <f t="shared" si="1"/>
        <v>02FB</v>
      </c>
      <c r="J31" s="8"/>
      <c r="K31" s="9"/>
      <c r="Q31" s="7"/>
      <c r="AP31">
        <v>0.45</v>
      </c>
      <c r="AS31" t="s">
        <v>267</v>
      </c>
      <c r="AT31" t="s">
        <v>888</v>
      </c>
      <c r="AY31">
        <v>-18</v>
      </c>
      <c r="BF31" t="s">
        <v>283</v>
      </c>
      <c r="BG31" t="s">
        <v>288</v>
      </c>
      <c r="BH31" t="s">
        <v>665</v>
      </c>
      <c r="BI31" t="s">
        <v>666</v>
      </c>
      <c r="BJ31" t="s">
        <v>665</v>
      </c>
      <c r="BK31" t="s">
        <v>207</v>
      </c>
      <c r="BQ31">
        <v>1</v>
      </c>
      <c r="BS31" t="s">
        <v>624</v>
      </c>
      <c r="BU31" t="s">
        <v>669</v>
      </c>
    </row>
    <row r="32" spans="1:73" x14ac:dyDescent="0.2">
      <c r="A32" t="s">
        <v>722</v>
      </c>
      <c r="B32" t="s">
        <v>211</v>
      </c>
      <c r="E32" t="str">
        <f>_xlfn.CONCAT(projectMetadata!$D$8,"_",sampleMetadata!A32)</f>
        <v>CROP_2024_0301</v>
      </c>
      <c r="F32" t="str">
        <f t="shared" si="0"/>
        <v>0301</v>
      </c>
      <c r="G32" t="str">
        <f t="shared" si="1"/>
        <v>0301</v>
      </c>
      <c r="H32" t="s">
        <v>868</v>
      </c>
      <c r="J32">
        <v>-0.81100264290000001</v>
      </c>
      <c r="K32">
        <v>54.305806249900002</v>
      </c>
      <c r="P32" t="s">
        <v>693</v>
      </c>
      <c r="Q32" s="7">
        <v>45376.534722222219</v>
      </c>
      <c r="R32" t="s">
        <v>663</v>
      </c>
      <c r="U32" t="s">
        <v>886</v>
      </c>
      <c r="V32" t="s">
        <v>664</v>
      </c>
      <c r="W32" t="s">
        <v>887</v>
      </c>
      <c r="X32" t="s">
        <v>207</v>
      </c>
      <c r="Y32" t="s">
        <v>883</v>
      </c>
      <c r="Z32" t="s">
        <v>884</v>
      </c>
      <c r="AA32">
        <v>2000</v>
      </c>
      <c r="AB32" t="s">
        <v>239</v>
      </c>
      <c r="AC32">
        <v>10</v>
      </c>
      <c r="AD32" t="s">
        <v>254</v>
      </c>
      <c r="AE32" t="s">
        <v>885</v>
      </c>
      <c r="AP32">
        <v>0.45</v>
      </c>
      <c r="AS32" t="s">
        <v>267</v>
      </c>
      <c r="AT32" t="s">
        <v>888</v>
      </c>
      <c r="AY32">
        <v>-18</v>
      </c>
      <c r="BF32" t="s">
        <v>283</v>
      </c>
      <c r="BG32" t="s">
        <v>288</v>
      </c>
      <c r="BH32" t="s">
        <v>665</v>
      </c>
      <c r="BI32" t="s">
        <v>666</v>
      </c>
      <c r="BJ32" t="s">
        <v>665</v>
      </c>
      <c r="BK32" t="s">
        <v>207</v>
      </c>
      <c r="BQ32">
        <v>1</v>
      </c>
      <c r="BS32" t="s">
        <v>624</v>
      </c>
      <c r="BU32" t="s">
        <v>669</v>
      </c>
    </row>
    <row r="33" spans="1:73" x14ac:dyDescent="0.2">
      <c r="A33" t="s">
        <v>723</v>
      </c>
      <c r="B33" t="s">
        <v>211</v>
      </c>
      <c r="E33" t="str">
        <f>_xlfn.CONCAT(projectMetadata!$D$8,"_",sampleMetadata!A33)</f>
        <v>CROP_2024_0302</v>
      </c>
      <c r="F33" t="str">
        <f t="shared" si="0"/>
        <v>0302</v>
      </c>
      <c r="G33" t="str">
        <f t="shared" si="1"/>
        <v>0302</v>
      </c>
      <c r="H33" t="s">
        <v>868</v>
      </c>
      <c r="J33">
        <v>-0.80960975670000002</v>
      </c>
      <c r="K33">
        <v>54.306324540200002</v>
      </c>
      <c r="P33" t="s">
        <v>693</v>
      </c>
      <c r="Q33" s="7">
        <v>45376.527777777781</v>
      </c>
      <c r="R33" t="s">
        <v>663</v>
      </c>
      <c r="U33" t="s">
        <v>886</v>
      </c>
      <c r="V33" t="s">
        <v>664</v>
      </c>
      <c r="W33" t="s">
        <v>887</v>
      </c>
      <c r="X33" t="s">
        <v>207</v>
      </c>
      <c r="Y33" t="s">
        <v>883</v>
      </c>
      <c r="Z33" t="s">
        <v>884</v>
      </c>
      <c r="AA33">
        <v>2000</v>
      </c>
      <c r="AB33" t="s">
        <v>239</v>
      </c>
      <c r="AC33">
        <v>10</v>
      </c>
      <c r="AD33" t="s">
        <v>254</v>
      </c>
      <c r="AE33" t="s">
        <v>885</v>
      </c>
      <c r="AP33">
        <v>0.45</v>
      </c>
      <c r="AS33" t="s">
        <v>267</v>
      </c>
      <c r="AT33" t="s">
        <v>888</v>
      </c>
      <c r="AY33">
        <v>-18</v>
      </c>
      <c r="BF33" t="s">
        <v>283</v>
      </c>
      <c r="BG33" t="s">
        <v>288</v>
      </c>
      <c r="BH33" t="s">
        <v>665</v>
      </c>
      <c r="BI33" t="s">
        <v>666</v>
      </c>
      <c r="BJ33" t="s">
        <v>665</v>
      </c>
      <c r="BK33" t="s">
        <v>207</v>
      </c>
      <c r="BQ33">
        <v>1</v>
      </c>
      <c r="BS33" t="s">
        <v>624</v>
      </c>
      <c r="BU33" t="s">
        <v>670</v>
      </c>
    </row>
    <row r="34" spans="1:73" x14ac:dyDescent="0.2">
      <c r="A34" t="s">
        <v>724</v>
      </c>
      <c r="B34" t="s">
        <v>211</v>
      </c>
      <c r="E34" t="str">
        <f>_xlfn.CONCAT(projectMetadata!$D$8,"_",sampleMetadata!A34)</f>
        <v>CROP_2024_0303</v>
      </c>
      <c r="F34" t="str">
        <f t="shared" si="0"/>
        <v>0303</v>
      </c>
      <c r="G34" t="str">
        <f t="shared" si="1"/>
        <v>0303</v>
      </c>
      <c r="H34" t="s">
        <v>868</v>
      </c>
      <c r="J34">
        <v>-0.81187299260000001</v>
      </c>
      <c r="K34">
        <v>54.305987271100001</v>
      </c>
      <c r="P34" t="s">
        <v>693</v>
      </c>
      <c r="Q34" s="7">
        <v>45376.517361111109</v>
      </c>
      <c r="R34" t="s">
        <v>663</v>
      </c>
      <c r="U34" t="s">
        <v>886</v>
      </c>
      <c r="V34" t="s">
        <v>664</v>
      </c>
      <c r="W34" t="s">
        <v>887</v>
      </c>
      <c r="X34" t="s">
        <v>207</v>
      </c>
      <c r="Y34" t="s">
        <v>883</v>
      </c>
      <c r="Z34" t="s">
        <v>884</v>
      </c>
      <c r="AA34">
        <v>2000</v>
      </c>
      <c r="AB34" t="s">
        <v>239</v>
      </c>
      <c r="AC34">
        <v>10</v>
      </c>
      <c r="AD34" t="s">
        <v>254</v>
      </c>
      <c r="AE34" t="s">
        <v>885</v>
      </c>
      <c r="AP34">
        <v>0.45</v>
      </c>
      <c r="AS34" t="s">
        <v>267</v>
      </c>
      <c r="AT34" t="s">
        <v>888</v>
      </c>
      <c r="AY34">
        <v>-18</v>
      </c>
      <c r="BF34" t="s">
        <v>283</v>
      </c>
      <c r="BG34" t="s">
        <v>288</v>
      </c>
      <c r="BH34" t="s">
        <v>665</v>
      </c>
      <c r="BI34" t="s">
        <v>666</v>
      </c>
      <c r="BJ34" t="s">
        <v>665</v>
      </c>
      <c r="BK34" t="s">
        <v>207</v>
      </c>
      <c r="BQ34">
        <v>1</v>
      </c>
      <c r="BS34" t="s">
        <v>624</v>
      </c>
      <c r="BU34" t="s">
        <v>670</v>
      </c>
    </row>
    <row r="35" spans="1:73" x14ac:dyDescent="0.2">
      <c r="A35" t="s">
        <v>725</v>
      </c>
      <c r="B35" t="s">
        <v>211</v>
      </c>
      <c r="E35" t="str">
        <f>_xlfn.CONCAT(projectMetadata!$D$8,"_",sampleMetadata!A35)</f>
        <v>CROP_2024_0304</v>
      </c>
      <c r="F35" t="str">
        <f t="shared" si="0"/>
        <v>0304</v>
      </c>
      <c r="G35" t="str">
        <f t="shared" si="1"/>
        <v>0304</v>
      </c>
      <c r="H35" t="s">
        <v>868</v>
      </c>
      <c r="J35">
        <v>-0.81155620490000002</v>
      </c>
      <c r="K35">
        <v>54.305646188399997</v>
      </c>
      <c r="P35" t="s">
        <v>693</v>
      </c>
      <c r="Q35" s="7">
        <v>45376.513888888891</v>
      </c>
      <c r="R35" t="s">
        <v>663</v>
      </c>
      <c r="U35" t="s">
        <v>886</v>
      </c>
      <c r="V35" t="s">
        <v>664</v>
      </c>
      <c r="W35" t="s">
        <v>887</v>
      </c>
      <c r="X35" t="s">
        <v>207</v>
      </c>
      <c r="Y35" t="s">
        <v>883</v>
      </c>
      <c r="Z35" t="s">
        <v>884</v>
      </c>
      <c r="AA35">
        <v>2000</v>
      </c>
      <c r="AB35" t="s">
        <v>239</v>
      </c>
      <c r="AC35">
        <v>10</v>
      </c>
      <c r="AD35" t="s">
        <v>254</v>
      </c>
      <c r="AE35" t="s">
        <v>885</v>
      </c>
      <c r="AP35">
        <v>0.45</v>
      </c>
      <c r="AS35" t="s">
        <v>267</v>
      </c>
      <c r="AT35" t="s">
        <v>888</v>
      </c>
      <c r="AY35">
        <v>-18</v>
      </c>
      <c r="BF35" t="s">
        <v>283</v>
      </c>
      <c r="BG35" t="s">
        <v>288</v>
      </c>
      <c r="BH35" t="s">
        <v>665</v>
      </c>
      <c r="BI35" t="s">
        <v>666</v>
      </c>
      <c r="BJ35" t="s">
        <v>665</v>
      </c>
      <c r="BK35" t="s">
        <v>207</v>
      </c>
      <c r="BQ35">
        <v>1</v>
      </c>
      <c r="BS35" t="s">
        <v>624</v>
      </c>
      <c r="BU35" t="s">
        <v>670</v>
      </c>
    </row>
    <row r="36" spans="1:73" x14ac:dyDescent="0.2">
      <c r="A36" t="s">
        <v>726</v>
      </c>
      <c r="B36" t="s">
        <v>211</v>
      </c>
      <c r="E36" t="str">
        <f>_xlfn.CONCAT(projectMetadata!$D$8,"_",sampleMetadata!A36)</f>
        <v>CROP_2024_0305</v>
      </c>
      <c r="F36" t="str">
        <f t="shared" ref="F36:F67" si="2">LEFT(A36,9)</f>
        <v>0305</v>
      </c>
      <c r="G36" t="str">
        <f t="shared" ref="G36:G58" si="3">F36</f>
        <v>0305</v>
      </c>
      <c r="H36" t="s">
        <v>868</v>
      </c>
      <c r="J36">
        <v>-0.81322505560000002</v>
      </c>
      <c r="K36">
        <v>54.305209826999999</v>
      </c>
      <c r="P36" t="s">
        <v>693</v>
      </c>
      <c r="Q36" s="7">
        <v>45376.5</v>
      </c>
      <c r="R36" t="s">
        <v>663</v>
      </c>
      <c r="U36" t="s">
        <v>886</v>
      </c>
      <c r="V36" t="s">
        <v>664</v>
      </c>
      <c r="W36" t="s">
        <v>887</v>
      </c>
      <c r="X36" t="s">
        <v>207</v>
      </c>
      <c r="Y36" t="s">
        <v>883</v>
      </c>
      <c r="Z36" t="s">
        <v>884</v>
      </c>
      <c r="AA36">
        <v>2000</v>
      </c>
      <c r="AB36" t="s">
        <v>239</v>
      </c>
      <c r="AC36">
        <v>10</v>
      </c>
      <c r="AD36" t="s">
        <v>254</v>
      </c>
      <c r="AE36" t="s">
        <v>885</v>
      </c>
      <c r="AP36">
        <v>0.45</v>
      </c>
      <c r="AS36" t="s">
        <v>267</v>
      </c>
      <c r="AT36" t="s">
        <v>888</v>
      </c>
      <c r="AY36">
        <v>-18</v>
      </c>
      <c r="BF36" t="s">
        <v>283</v>
      </c>
      <c r="BG36" t="s">
        <v>288</v>
      </c>
      <c r="BH36" t="s">
        <v>665</v>
      </c>
      <c r="BI36" t="s">
        <v>666</v>
      </c>
      <c r="BJ36" t="s">
        <v>665</v>
      </c>
      <c r="BK36" t="s">
        <v>207</v>
      </c>
      <c r="BQ36">
        <v>1</v>
      </c>
      <c r="BS36" t="s">
        <v>624</v>
      </c>
      <c r="BU36" t="s">
        <v>670</v>
      </c>
    </row>
    <row r="37" spans="1:73" x14ac:dyDescent="0.2">
      <c r="A37" t="s">
        <v>727</v>
      </c>
      <c r="B37" t="s">
        <v>211</v>
      </c>
      <c r="E37" t="str">
        <f>_xlfn.CONCAT(projectMetadata!$D$8,"_",sampleMetadata!A37)</f>
        <v>CROP_2024_0306</v>
      </c>
      <c r="F37" t="str">
        <f t="shared" si="2"/>
        <v>0306</v>
      </c>
      <c r="G37" t="str">
        <f t="shared" si="3"/>
        <v>0306</v>
      </c>
      <c r="H37" t="s">
        <v>868</v>
      </c>
      <c r="J37">
        <v>-0.81573976209999999</v>
      </c>
      <c r="K37">
        <v>54.304996408400001</v>
      </c>
      <c r="P37" t="s">
        <v>693</v>
      </c>
      <c r="Q37" s="7">
        <v>45376.496527777781</v>
      </c>
      <c r="R37" t="s">
        <v>663</v>
      </c>
      <c r="U37" t="s">
        <v>886</v>
      </c>
      <c r="V37" t="s">
        <v>664</v>
      </c>
      <c r="W37" t="s">
        <v>887</v>
      </c>
      <c r="X37" t="s">
        <v>207</v>
      </c>
      <c r="Y37" t="s">
        <v>883</v>
      </c>
      <c r="Z37" t="s">
        <v>884</v>
      </c>
      <c r="AA37">
        <v>2000</v>
      </c>
      <c r="AB37" t="s">
        <v>239</v>
      </c>
      <c r="AC37">
        <v>10</v>
      </c>
      <c r="AD37" t="s">
        <v>254</v>
      </c>
      <c r="AE37" t="s">
        <v>885</v>
      </c>
      <c r="AP37">
        <v>0.45</v>
      </c>
      <c r="AS37" t="s">
        <v>267</v>
      </c>
      <c r="AT37" t="s">
        <v>888</v>
      </c>
      <c r="AY37">
        <v>-18</v>
      </c>
      <c r="BF37" t="s">
        <v>283</v>
      </c>
      <c r="BG37" t="s">
        <v>288</v>
      </c>
      <c r="BH37" t="s">
        <v>665</v>
      </c>
      <c r="BI37" t="s">
        <v>666</v>
      </c>
      <c r="BJ37" t="s">
        <v>665</v>
      </c>
      <c r="BK37" t="s">
        <v>207</v>
      </c>
      <c r="BQ37">
        <v>1</v>
      </c>
      <c r="BS37" t="s">
        <v>624</v>
      </c>
      <c r="BU37" t="s">
        <v>670</v>
      </c>
    </row>
    <row r="38" spans="1:73" x14ac:dyDescent="0.2">
      <c r="A38" t="s">
        <v>728</v>
      </c>
      <c r="B38" t="s">
        <v>211</v>
      </c>
      <c r="E38" t="str">
        <f>_xlfn.CONCAT(projectMetadata!$D$8,"_",sampleMetadata!A38)</f>
        <v>CROP_2024_0307</v>
      </c>
      <c r="F38" t="str">
        <f t="shared" si="2"/>
        <v>0307</v>
      </c>
      <c r="G38" t="str">
        <f t="shared" si="3"/>
        <v>0307</v>
      </c>
      <c r="H38" t="s">
        <v>868</v>
      </c>
      <c r="J38">
        <v>-0.81746413220000003</v>
      </c>
      <c r="K38">
        <v>54.304683900500002</v>
      </c>
      <c r="P38" t="s">
        <v>693</v>
      </c>
      <c r="Q38" s="7">
        <v>45376.486111111109</v>
      </c>
      <c r="R38" t="s">
        <v>663</v>
      </c>
      <c r="U38" t="s">
        <v>886</v>
      </c>
      <c r="V38" t="s">
        <v>664</v>
      </c>
      <c r="W38" t="s">
        <v>887</v>
      </c>
      <c r="X38" t="s">
        <v>207</v>
      </c>
      <c r="Y38" t="s">
        <v>883</v>
      </c>
      <c r="Z38" t="s">
        <v>884</v>
      </c>
      <c r="AA38">
        <v>2000</v>
      </c>
      <c r="AB38" t="s">
        <v>239</v>
      </c>
      <c r="AC38">
        <v>10</v>
      </c>
      <c r="AD38" t="s">
        <v>254</v>
      </c>
      <c r="AE38" t="s">
        <v>885</v>
      </c>
      <c r="AP38">
        <v>0.45</v>
      </c>
      <c r="AS38" t="s">
        <v>267</v>
      </c>
      <c r="AT38" t="s">
        <v>888</v>
      </c>
      <c r="AY38">
        <v>-18</v>
      </c>
      <c r="BF38" t="s">
        <v>283</v>
      </c>
      <c r="BG38" t="s">
        <v>288</v>
      </c>
      <c r="BH38" t="s">
        <v>665</v>
      </c>
      <c r="BI38" t="s">
        <v>666</v>
      </c>
      <c r="BJ38" t="s">
        <v>665</v>
      </c>
      <c r="BK38" t="s">
        <v>207</v>
      </c>
      <c r="BQ38">
        <v>1</v>
      </c>
      <c r="BS38" t="s">
        <v>624</v>
      </c>
      <c r="BU38" t="s">
        <v>670</v>
      </c>
    </row>
    <row r="39" spans="1:73" x14ac:dyDescent="0.2">
      <c r="A39" t="s">
        <v>729</v>
      </c>
      <c r="B39" t="s">
        <v>211</v>
      </c>
      <c r="E39" t="str">
        <f>_xlfn.CONCAT(projectMetadata!$D$8,"_",sampleMetadata!A39)</f>
        <v>CROP_2024_0308</v>
      </c>
      <c r="F39" t="str">
        <f t="shared" si="2"/>
        <v>0308</v>
      </c>
      <c r="G39" t="str">
        <f t="shared" si="3"/>
        <v>0308</v>
      </c>
      <c r="H39" t="s">
        <v>868</v>
      </c>
      <c r="J39">
        <v>-0.81789849059999997</v>
      </c>
      <c r="K39">
        <v>54.3045943399</v>
      </c>
      <c r="P39" t="s">
        <v>693</v>
      </c>
      <c r="Q39" s="7">
        <v>45376.482638888891</v>
      </c>
      <c r="R39" t="s">
        <v>663</v>
      </c>
      <c r="U39" t="s">
        <v>886</v>
      </c>
      <c r="V39" t="s">
        <v>664</v>
      </c>
      <c r="W39" t="s">
        <v>887</v>
      </c>
      <c r="X39" t="s">
        <v>207</v>
      </c>
      <c r="Y39" t="s">
        <v>883</v>
      </c>
      <c r="Z39" t="s">
        <v>884</v>
      </c>
      <c r="AA39">
        <v>2000</v>
      </c>
      <c r="AB39" t="s">
        <v>239</v>
      </c>
      <c r="AC39">
        <v>10</v>
      </c>
      <c r="AD39" t="s">
        <v>254</v>
      </c>
      <c r="AE39" t="s">
        <v>885</v>
      </c>
      <c r="AP39">
        <v>0.45</v>
      </c>
      <c r="AS39" t="s">
        <v>267</v>
      </c>
      <c r="AT39" t="s">
        <v>888</v>
      </c>
      <c r="AY39">
        <v>-18</v>
      </c>
      <c r="BF39" t="s">
        <v>283</v>
      </c>
      <c r="BG39" t="s">
        <v>288</v>
      </c>
      <c r="BH39" t="s">
        <v>665</v>
      </c>
      <c r="BI39" t="s">
        <v>666</v>
      </c>
      <c r="BJ39" t="s">
        <v>665</v>
      </c>
      <c r="BK39" t="s">
        <v>207</v>
      </c>
      <c r="BQ39">
        <v>1</v>
      </c>
      <c r="BS39" t="s">
        <v>624</v>
      </c>
      <c r="BU39" t="s">
        <v>671</v>
      </c>
    </row>
    <row r="40" spans="1:73" x14ac:dyDescent="0.2">
      <c r="A40" t="s">
        <v>730</v>
      </c>
      <c r="B40" t="s">
        <v>211</v>
      </c>
      <c r="E40" t="str">
        <f>_xlfn.CONCAT(projectMetadata!$D$8,"_",sampleMetadata!A40)</f>
        <v>CROP_2024_0309</v>
      </c>
      <c r="F40" t="str">
        <f t="shared" si="2"/>
        <v>0309</v>
      </c>
      <c r="G40" t="str">
        <f t="shared" si="3"/>
        <v>0309</v>
      </c>
      <c r="H40" t="s">
        <v>868</v>
      </c>
      <c r="J40">
        <v>-0.81844388800000001</v>
      </c>
      <c r="K40">
        <v>54.304359957000003</v>
      </c>
      <c r="P40" t="s">
        <v>693</v>
      </c>
      <c r="Q40" s="7">
        <v>45376.475694444445</v>
      </c>
      <c r="R40" t="s">
        <v>663</v>
      </c>
      <c r="U40" t="s">
        <v>886</v>
      </c>
      <c r="V40" t="s">
        <v>664</v>
      </c>
      <c r="W40" t="s">
        <v>887</v>
      </c>
      <c r="X40" t="s">
        <v>207</v>
      </c>
      <c r="Y40" t="s">
        <v>883</v>
      </c>
      <c r="Z40" t="s">
        <v>884</v>
      </c>
      <c r="AA40">
        <v>2000</v>
      </c>
      <c r="AB40" t="s">
        <v>239</v>
      </c>
      <c r="AC40">
        <v>10</v>
      </c>
      <c r="AD40" t="s">
        <v>254</v>
      </c>
      <c r="AE40" t="s">
        <v>885</v>
      </c>
      <c r="AP40">
        <v>0.45</v>
      </c>
      <c r="AS40" t="s">
        <v>267</v>
      </c>
      <c r="AT40" t="s">
        <v>888</v>
      </c>
      <c r="AY40">
        <v>-18</v>
      </c>
      <c r="BF40" t="s">
        <v>283</v>
      </c>
      <c r="BG40" t="s">
        <v>288</v>
      </c>
      <c r="BH40" t="s">
        <v>665</v>
      </c>
      <c r="BI40" t="s">
        <v>666</v>
      </c>
      <c r="BJ40" t="s">
        <v>665</v>
      </c>
      <c r="BK40" t="s">
        <v>207</v>
      </c>
      <c r="BQ40">
        <v>1</v>
      </c>
      <c r="BS40" t="s">
        <v>624</v>
      </c>
      <c r="BU40" t="s">
        <v>671</v>
      </c>
    </row>
    <row r="41" spans="1:73" x14ac:dyDescent="0.2">
      <c r="A41" t="s">
        <v>731</v>
      </c>
      <c r="B41" t="s">
        <v>211</v>
      </c>
      <c r="E41" t="str">
        <f>_xlfn.CONCAT(projectMetadata!$D$8,"_",sampleMetadata!A41)</f>
        <v>CROP_2024_0310</v>
      </c>
      <c r="F41" t="str">
        <f t="shared" si="2"/>
        <v>0310</v>
      </c>
      <c r="G41" t="str">
        <f t="shared" si="3"/>
        <v>0310</v>
      </c>
      <c r="H41" t="s">
        <v>868</v>
      </c>
      <c r="J41">
        <v>-0.81895989270000003</v>
      </c>
      <c r="K41">
        <v>54.304236095500002</v>
      </c>
      <c r="P41" t="s">
        <v>693</v>
      </c>
      <c r="Q41" s="7">
        <v>45376.46875</v>
      </c>
      <c r="R41" t="s">
        <v>663</v>
      </c>
      <c r="U41" t="s">
        <v>886</v>
      </c>
      <c r="V41" t="s">
        <v>664</v>
      </c>
      <c r="W41" t="s">
        <v>887</v>
      </c>
      <c r="X41" t="s">
        <v>207</v>
      </c>
      <c r="Y41" t="s">
        <v>883</v>
      </c>
      <c r="Z41" t="s">
        <v>884</v>
      </c>
      <c r="AA41">
        <v>2000</v>
      </c>
      <c r="AB41" t="s">
        <v>239</v>
      </c>
      <c r="AC41">
        <v>10</v>
      </c>
      <c r="AD41" t="s">
        <v>254</v>
      </c>
      <c r="AE41" t="s">
        <v>885</v>
      </c>
      <c r="AP41">
        <v>0.45</v>
      </c>
      <c r="AS41" t="s">
        <v>267</v>
      </c>
      <c r="AT41" t="s">
        <v>888</v>
      </c>
      <c r="AY41">
        <v>-18</v>
      </c>
      <c r="BF41" t="s">
        <v>283</v>
      </c>
      <c r="BG41" t="s">
        <v>288</v>
      </c>
      <c r="BH41" t="s">
        <v>665</v>
      </c>
      <c r="BI41" t="s">
        <v>666</v>
      </c>
      <c r="BJ41" t="s">
        <v>665</v>
      </c>
      <c r="BK41" t="s">
        <v>207</v>
      </c>
      <c r="BQ41">
        <v>1</v>
      </c>
      <c r="BS41" t="s">
        <v>624</v>
      </c>
      <c r="BU41" t="s">
        <v>671</v>
      </c>
    </row>
    <row r="42" spans="1:73" x14ac:dyDescent="0.2">
      <c r="A42" t="s">
        <v>732</v>
      </c>
      <c r="B42" t="s">
        <v>212</v>
      </c>
      <c r="C42" t="s">
        <v>220</v>
      </c>
      <c r="E42" t="str">
        <f>_xlfn.CONCAT(projectMetadata!$D$8,"_",sampleMetadata!A42)</f>
        <v>CROP_2024_03EB</v>
      </c>
      <c r="F42" t="str">
        <f t="shared" si="2"/>
        <v>03EB</v>
      </c>
      <c r="G42" t="str">
        <f t="shared" si="3"/>
        <v>03EB</v>
      </c>
      <c r="J42" s="8"/>
      <c r="K42" s="9"/>
      <c r="Q42" s="7"/>
      <c r="AP42">
        <v>0.45</v>
      </c>
      <c r="AS42" t="s">
        <v>267</v>
      </c>
      <c r="AT42" t="s">
        <v>888</v>
      </c>
      <c r="AY42">
        <v>-18</v>
      </c>
      <c r="BF42" t="s">
        <v>283</v>
      </c>
      <c r="BG42" t="s">
        <v>288</v>
      </c>
      <c r="BH42" t="s">
        <v>665</v>
      </c>
      <c r="BI42" t="s">
        <v>666</v>
      </c>
      <c r="BJ42" t="s">
        <v>665</v>
      </c>
      <c r="BK42" t="s">
        <v>207</v>
      </c>
      <c r="BQ42">
        <v>1</v>
      </c>
      <c r="BS42" t="s">
        <v>624</v>
      </c>
      <c r="BU42" t="s">
        <v>671</v>
      </c>
    </row>
    <row r="43" spans="1:73" x14ac:dyDescent="0.2">
      <c r="A43" t="s">
        <v>733</v>
      </c>
      <c r="B43" t="s">
        <v>212</v>
      </c>
      <c r="C43" t="s">
        <v>218</v>
      </c>
      <c r="E43" t="str">
        <f>_xlfn.CONCAT(projectMetadata!$D$8,"_",sampleMetadata!A43)</f>
        <v>CROP_2024_03FB</v>
      </c>
      <c r="F43" t="str">
        <f t="shared" si="2"/>
        <v>03FB</v>
      </c>
      <c r="G43" t="str">
        <f t="shared" si="3"/>
        <v>03FB</v>
      </c>
      <c r="J43" s="8"/>
      <c r="K43" s="9"/>
      <c r="Q43" s="7"/>
      <c r="BF43" t="s">
        <v>283</v>
      </c>
      <c r="BG43" t="s">
        <v>288</v>
      </c>
      <c r="BH43" t="s">
        <v>665</v>
      </c>
      <c r="BI43" t="s">
        <v>666</v>
      </c>
      <c r="BJ43" t="s">
        <v>665</v>
      </c>
      <c r="BK43" t="s">
        <v>207</v>
      </c>
      <c r="BQ43">
        <v>1</v>
      </c>
      <c r="BS43" t="s">
        <v>624</v>
      </c>
      <c r="BU43" t="s">
        <v>669</v>
      </c>
    </row>
    <row r="44" spans="1:73" x14ac:dyDescent="0.2">
      <c r="A44" t="s">
        <v>734</v>
      </c>
      <c r="B44" t="s">
        <v>211</v>
      </c>
      <c r="E44" t="str">
        <f>_xlfn.CONCAT(projectMetadata!$D$8,"_",sampleMetadata!A44)</f>
        <v>CROP_2024_0401</v>
      </c>
      <c r="F44" t="str">
        <f t="shared" si="2"/>
        <v>0401</v>
      </c>
      <c r="G44" t="str">
        <f t="shared" si="3"/>
        <v>0401</v>
      </c>
      <c r="H44" t="s">
        <v>869</v>
      </c>
      <c r="J44">
        <v>-0.81100264290000001</v>
      </c>
      <c r="K44">
        <v>54.305806249900002</v>
      </c>
      <c r="P44" t="s">
        <v>693</v>
      </c>
      <c r="Q44" s="7">
        <v>45404.489583333336</v>
      </c>
      <c r="R44" t="s">
        <v>663</v>
      </c>
      <c r="U44" t="s">
        <v>886</v>
      </c>
      <c r="V44" t="s">
        <v>664</v>
      </c>
      <c r="W44" t="s">
        <v>887</v>
      </c>
      <c r="X44" t="s">
        <v>207</v>
      </c>
      <c r="Y44" t="s">
        <v>883</v>
      </c>
      <c r="Z44" t="s">
        <v>884</v>
      </c>
      <c r="AA44">
        <v>2000</v>
      </c>
      <c r="AB44" t="s">
        <v>239</v>
      </c>
      <c r="AC44">
        <v>10</v>
      </c>
      <c r="AD44" t="s">
        <v>254</v>
      </c>
      <c r="AE44" t="s">
        <v>885</v>
      </c>
      <c r="AP44">
        <v>0.45</v>
      </c>
      <c r="AS44" t="s">
        <v>267</v>
      </c>
      <c r="AT44" t="s">
        <v>888</v>
      </c>
      <c r="AY44">
        <v>-18</v>
      </c>
      <c r="BF44" t="s">
        <v>283</v>
      </c>
      <c r="BG44" t="s">
        <v>288</v>
      </c>
      <c r="BH44" t="s">
        <v>665</v>
      </c>
      <c r="BI44" t="s">
        <v>666</v>
      </c>
      <c r="BJ44" t="s">
        <v>665</v>
      </c>
      <c r="BK44" t="s">
        <v>207</v>
      </c>
      <c r="BQ44">
        <v>1</v>
      </c>
      <c r="BS44" t="s">
        <v>624</v>
      </c>
      <c r="BU44" t="s">
        <v>669</v>
      </c>
    </row>
    <row r="45" spans="1:73" x14ac:dyDescent="0.2">
      <c r="A45" t="s">
        <v>735</v>
      </c>
      <c r="B45" t="s">
        <v>211</v>
      </c>
      <c r="E45" t="str">
        <f>_xlfn.CONCAT(projectMetadata!$D$8,"_",sampleMetadata!A45)</f>
        <v>CROP_2024_0402</v>
      </c>
      <c r="F45" t="str">
        <f t="shared" si="2"/>
        <v>0402</v>
      </c>
      <c r="G45" t="str">
        <f t="shared" si="3"/>
        <v>0402</v>
      </c>
      <c r="H45" t="s">
        <v>869</v>
      </c>
      <c r="J45">
        <v>-0.80960975670000002</v>
      </c>
      <c r="K45">
        <v>54.306324540200002</v>
      </c>
      <c r="P45" t="s">
        <v>693</v>
      </c>
      <c r="Q45" s="7">
        <v>45404.496527777781</v>
      </c>
      <c r="R45" t="s">
        <v>663</v>
      </c>
      <c r="U45" t="s">
        <v>886</v>
      </c>
      <c r="V45" t="s">
        <v>664</v>
      </c>
      <c r="W45" t="s">
        <v>887</v>
      </c>
      <c r="X45" t="s">
        <v>207</v>
      </c>
      <c r="Y45" t="s">
        <v>883</v>
      </c>
      <c r="Z45" t="s">
        <v>884</v>
      </c>
      <c r="AA45">
        <v>2000</v>
      </c>
      <c r="AB45" t="s">
        <v>239</v>
      </c>
      <c r="AC45">
        <v>10</v>
      </c>
      <c r="AD45" t="s">
        <v>254</v>
      </c>
      <c r="AE45" t="s">
        <v>885</v>
      </c>
      <c r="AP45">
        <v>0.45</v>
      </c>
      <c r="AS45" t="s">
        <v>267</v>
      </c>
      <c r="AT45" t="s">
        <v>888</v>
      </c>
      <c r="AY45">
        <v>-18</v>
      </c>
      <c r="BF45" t="s">
        <v>283</v>
      </c>
      <c r="BG45" t="s">
        <v>288</v>
      </c>
      <c r="BH45" t="s">
        <v>665</v>
      </c>
      <c r="BI45" t="s">
        <v>666</v>
      </c>
      <c r="BJ45" t="s">
        <v>665</v>
      </c>
      <c r="BK45" t="s">
        <v>207</v>
      </c>
      <c r="BQ45">
        <v>1</v>
      </c>
      <c r="BS45" t="s">
        <v>624</v>
      </c>
      <c r="BU45" t="s">
        <v>669</v>
      </c>
    </row>
    <row r="46" spans="1:73" x14ac:dyDescent="0.2">
      <c r="A46" t="s">
        <v>736</v>
      </c>
      <c r="B46" t="s">
        <v>211</v>
      </c>
      <c r="E46" t="str">
        <f>_xlfn.CONCAT(projectMetadata!$D$8,"_",sampleMetadata!A46)</f>
        <v>CROP_2024_0403</v>
      </c>
      <c r="F46" t="str">
        <f t="shared" si="2"/>
        <v>0403</v>
      </c>
      <c r="G46" t="str">
        <f t="shared" si="3"/>
        <v>0403</v>
      </c>
      <c r="H46" t="s">
        <v>869</v>
      </c>
      <c r="J46">
        <v>-0.81187299260000001</v>
      </c>
      <c r="K46">
        <v>54.305987271100001</v>
      </c>
      <c r="P46" t="s">
        <v>693</v>
      </c>
      <c r="Q46" s="7">
        <v>45404.479166666664</v>
      </c>
      <c r="R46" t="s">
        <v>663</v>
      </c>
      <c r="U46" t="s">
        <v>886</v>
      </c>
      <c r="V46" t="s">
        <v>664</v>
      </c>
      <c r="W46" t="s">
        <v>887</v>
      </c>
      <c r="X46" t="s">
        <v>207</v>
      </c>
      <c r="Y46" t="s">
        <v>883</v>
      </c>
      <c r="Z46" t="s">
        <v>884</v>
      </c>
      <c r="AA46">
        <v>2000</v>
      </c>
      <c r="AB46" t="s">
        <v>239</v>
      </c>
      <c r="AC46">
        <v>10</v>
      </c>
      <c r="AD46" t="s">
        <v>254</v>
      </c>
      <c r="AE46" t="s">
        <v>885</v>
      </c>
      <c r="AP46">
        <v>0.45</v>
      </c>
      <c r="AS46" t="s">
        <v>267</v>
      </c>
      <c r="AT46" t="s">
        <v>888</v>
      </c>
      <c r="AY46">
        <v>-18</v>
      </c>
      <c r="BF46" t="s">
        <v>283</v>
      </c>
      <c r="BG46" t="s">
        <v>288</v>
      </c>
      <c r="BH46" t="s">
        <v>665</v>
      </c>
      <c r="BI46" t="s">
        <v>666</v>
      </c>
      <c r="BJ46" t="s">
        <v>665</v>
      </c>
      <c r="BK46" t="s">
        <v>207</v>
      </c>
      <c r="BQ46">
        <v>1</v>
      </c>
      <c r="BS46" t="s">
        <v>624</v>
      </c>
      <c r="BU46" t="s">
        <v>669</v>
      </c>
    </row>
    <row r="47" spans="1:73" x14ac:dyDescent="0.2">
      <c r="A47" t="s">
        <v>737</v>
      </c>
      <c r="B47" t="s">
        <v>211</v>
      </c>
      <c r="E47" t="str">
        <f>_xlfn.CONCAT(projectMetadata!$D$8,"_",sampleMetadata!A47)</f>
        <v>CROP_2024_0404</v>
      </c>
      <c r="F47" t="str">
        <f t="shared" si="2"/>
        <v>0404</v>
      </c>
      <c r="G47" t="str">
        <f t="shared" si="3"/>
        <v>0404</v>
      </c>
      <c r="H47" t="s">
        <v>869</v>
      </c>
      <c r="J47">
        <v>-0.81155620490000002</v>
      </c>
      <c r="K47">
        <v>54.305646188399997</v>
      </c>
      <c r="P47" t="s">
        <v>693</v>
      </c>
      <c r="Q47" s="7">
        <v>45404.472222222219</v>
      </c>
      <c r="R47" t="s">
        <v>663</v>
      </c>
      <c r="U47" t="s">
        <v>886</v>
      </c>
      <c r="V47" t="s">
        <v>664</v>
      </c>
      <c r="W47" t="s">
        <v>887</v>
      </c>
      <c r="X47" t="s">
        <v>207</v>
      </c>
      <c r="Y47" t="s">
        <v>883</v>
      </c>
      <c r="Z47" t="s">
        <v>884</v>
      </c>
      <c r="AA47">
        <v>2000</v>
      </c>
      <c r="AB47" t="s">
        <v>239</v>
      </c>
      <c r="AC47">
        <v>10</v>
      </c>
      <c r="AD47" t="s">
        <v>254</v>
      </c>
      <c r="AE47" t="s">
        <v>885</v>
      </c>
      <c r="AP47">
        <v>0.45</v>
      </c>
      <c r="AS47" t="s">
        <v>267</v>
      </c>
      <c r="AT47" t="s">
        <v>888</v>
      </c>
      <c r="AY47">
        <v>-18</v>
      </c>
      <c r="BF47" t="s">
        <v>283</v>
      </c>
      <c r="BG47" t="s">
        <v>288</v>
      </c>
      <c r="BH47" t="s">
        <v>665</v>
      </c>
      <c r="BI47" t="s">
        <v>666</v>
      </c>
      <c r="BJ47" t="s">
        <v>665</v>
      </c>
      <c r="BK47" t="s">
        <v>207</v>
      </c>
      <c r="BQ47">
        <v>1</v>
      </c>
      <c r="BS47" t="s">
        <v>624</v>
      </c>
      <c r="BU47" t="s">
        <v>672</v>
      </c>
    </row>
    <row r="48" spans="1:73" x14ac:dyDescent="0.2">
      <c r="A48" t="s">
        <v>738</v>
      </c>
      <c r="B48" t="s">
        <v>211</v>
      </c>
      <c r="E48" t="str">
        <f>_xlfn.CONCAT(projectMetadata!$D$8,"_",sampleMetadata!A48)</f>
        <v>CROP_2024_0405</v>
      </c>
      <c r="F48" t="str">
        <f t="shared" si="2"/>
        <v>0405</v>
      </c>
      <c r="G48" t="str">
        <f t="shared" si="3"/>
        <v>0405</v>
      </c>
      <c r="H48" t="s">
        <v>870</v>
      </c>
      <c r="J48">
        <v>-0.81322505560000002</v>
      </c>
      <c r="K48">
        <v>54.305209826999999</v>
      </c>
      <c r="P48" t="s">
        <v>693</v>
      </c>
      <c r="Q48" s="7">
        <v>45404.461805555555</v>
      </c>
      <c r="R48" t="s">
        <v>663</v>
      </c>
      <c r="U48" t="s">
        <v>886</v>
      </c>
      <c r="V48" t="s">
        <v>664</v>
      </c>
      <c r="W48" t="s">
        <v>887</v>
      </c>
      <c r="X48" t="s">
        <v>207</v>
      </c>
      <c r="Y48" t="s">
        <v>883</v>
      </c>
      <c r="Z48" t="s">
        <v>884</v>
      </c>
      <c r="AA48">
        <v>2000</v>
      </c>
      <c r="AB48" t="s">
        <v>239</v>
      </c>
      <c r="AC48">
        <v>10</v>
      </c>
      <c r="AD48" t="s">
        <v>254</v>
      </c>
      <c r="AE48" t="s">
        <v>885</v>
      </c>
      <c r="AP48">
        <v>0.45</v>
      </c>
      <c r="AS48" t="s">
        <v>267</v>
      </c>
      <c r="AT48" t="s">
        <v>888</v>
      </c>
      <c r="AY48">
        <v>-18</v>
      </c>
      <c r="BF48" t="s">
        <v>283</v>
      </c>
      <c r="BG48" t="s">
        <v>288</v>
      </c>
      <c r="BH48" t="s">
        <v>665</v>
      </c>
      <c r="BI48" t="s">
        <v>666</v>
      </c>
      <c r="BJ48" t="s">
        <v>665</v>
      </c>
      <c r="BK48" t="s">
        <v>207</v>
      </c>
      <c r="BQ48">
        <v>1</v>
      </c>
      <c r="BS48" t="s">
        <v>624</v>
      </c>
      <c r="BU48" t="s">
        <v>672</v>
      </c>
    </row>
    <row r="49" spans="1:73" x14ac:dyDescent="0.2">
      <c r="A49" t="s">
        <v>739</v>
      </c>
      <c r="B49" t="s">
        <v>211</v>
      </c>
      <c r="E49" t="str">
        <f>_xlfn.CONCAT(projectMetadata!$D$8,"_",sampleMetadata!A49)</f>
        <v>CROP_2024_0406</v>
      </c>
      <c r="F49" t="str">
        <f t="shared" si="2"/>
        <v>0406</v>
      </c>
      <c r="G49" t="str">
        <f t="shared" si="3"/>
        <v>0406</v>
      </c>
      <c r="H49" t="s">
        <v>870</v>
      </c>
      <c r="J49">
        <v>-0.81573976209999999</v>
      </c>
      <c r="K49">
        <v>54.304996408400001</v>
      </c>
      <c r="P49" t="s">
        <v>693</v>
      </c>
      <c r="Q49" s="7">
        <v>45404.454861111109</v>
      </c>
      <c r="R49" t="s">
        <v>663</v>
      </c>
      <c r="U49" t="s">
        <v>886</v>
      </c>
      <c r="V49" t="s">
        <v>664</v>
      </c>
      <c r="W49" t="s">
        <v>887</v>
      </c>
      <c r="X49" t="s">
        <v>207</v>
      </c>
      <c r="Y49" t="s">
        <v>883</v>
      </c>
      <c r="Z49" t="s">
        <v>884</v>
      </c>
      <c r="AA49">
        <v>2000</v>
      </c>
      <c r="AB49" t="s">
        <v>239</v>
      </c>
      <c r="AC49">
        <v>10</v>
      </c>
      <c r="AD49" t="s">
        <v>254</v>
      </c>
      <c r="AE49" t="s">
        <v>885</v>
      </c>
      <c r="AP49">
        <v>0.45</v>
      </c>
      <c r="AS49" t="s">
        <v>267</v>
      </c>
      <c r="AT49" t="s">
        <v>888</v>
      </c>
      <c r="AY49">
        <v>-18</v>
      </c>
      <c r="BF49" t="s">
        <v>283</v>
      </c>
      <c r="BG49" t="s">
        <v>288</v>
      </c>
      <c r="BH49" t="s">
        <v>665</v>
      </c>
      <c r="BI49" t="s">
        <v>666</v>
      </c>
      <c r="BJ49" t="s">
        <v>665</v>
      </c>
      <c r="BK49" t="s">
        <v>207</v>
      </c>
      <c r="BQ49">
        <v>1</v>
      </c>
      <c r="BS49" t="s">
        <v>624</v>
      </c>
      <c r="BU49" t="s">
        <v>672</v>
      </c>
    </row>
    <row r="50" spans="1:73" x14ac:dyDescent="0.2">
      <c r="A50" t="s">
        <v>740</v>
      </c>
      <c r="B50" t="s">
        <v>211</v>
      </c>
      <c r="E50" t="str">
        <f>_xlfn.CONCAT(projectMetadata!$D$8,"_",sampleMetadata!A50)</f>
        <v>CROP_2024_0407</v>
      </c>
      <c r="F50" t="str">
        <f t="shared" si="2"/>
        <v>0407</v>
      </c>
      <c r="G50" t="str">
        <f t="shared" si="3"/>
        <v>0407</v>
      </c>
      <c r="H50" t="s">
        <v>869</v>
      </c>
      <c r="J50">
        <v>-0.81746413220000003</v>
      </c>
      <c r="K50">
        <v>54.304683900500002</v>
      </c>
      <c r="P50" t="s">
        <v>693</v>
      </c>
      <c r="Q50" s="7">
        <v>45404.447916666664</v>
      </c>
      <c r="R50" t="s">
        <v>663</v>
      </c>
      <c r="U50" t="s">
        <v>886</v>
      </c>
      <c r="V50" t="s">
        <v>664</v>
      </c>
      <c r="W50" t="s">
        <v>887</v>
      </c>
      <c r="X50" t="s">
        <v>207</v>
      </c>
      <c r="Y50" t="s">
        <v>883</v>
      </c>
      <c r="Z50" t="s">
        <v>884</v>
      </c>
      <c r="AA50">
        <v>2000</v>
      </c>
      <c r="AB50" t="s">
        <v>239</v>
      </c>
      <c r="AC50">
        <v>10</v>
      </c>
      <c r="AD50" t="s">
        <v>254</v>
      </c>
      <c r="AE50" t="s">
        <v>885</v>
      </c>
      <c r="AP50">
        <v>0.45</v>
      </c>
      <c r="AS50" t="s">
        <v>267</v>
      </c>
      <c r="AT50" t="s">
        <v>888</v>
      </c>
      <c r="AY50">
        <v>-18</v>
      </c>
      <c r="BF50" t="s">
        <v>283</v>
      </c>
      <c r="BG50" t="s">
        <v>288</v>
      </c>
      <c r="BH50" t="s">
        <v>665</v>
      </c>
      <c r="BI50" t="s">
        <v>666</v>
      </c>
      <c r="BJ50" t="s">
        <v>665</v>
      </c>
      <c r="BK50" t="s">
        <v>207</v>
      </c>
      <c r="BQ50">
        <v>1</v>
      </c>
      <c r="BS50" t="s">
        <v>624</v>
      </c>
      <c r="BU50" t="s">
        <v>672</v>
      </c>
    </row>
    <row r="51" spans="1:73" x14ac:dyDescent="0.2">
      <c r="A51" t="s">
        <v>741</v>
      </c>
      <c r="B51" t="s">
        <v>211</v>
      </c>
      <c r="E51" t="str">
        <f>_xlfn.CONCAT(projectMetadata!$D$8,"_",sampleMetadata!A51)</f>
        <v>CROP_2024_0408</v>
      </c>
      <c r="F51" t="str">
        <f t="shared" si="2"/>
        <v>0408</v>
      </c>
      <c r="G51" t="str">
        <f t="shared" si="3"/>
        <v>0408</v>
      </c>
      <c r="H51" t="s">
        <v>869</v>
      </c>
      <c r="J51">
        <v>-0.81789849059999997</v>
      </c>
      <c r="K51">
        <v>54.3045943399</v>
      </c>
      <c r="P51" t="s">
        <v>693</v>
      </c>
      <c r="Q51" s="7">
        <v>45404.444444444445</v>
      </c>
      <c r="R51" t="s">
        <v>663</v>
      </c>
      <c r="U51" t="s">
        <v>886</v>
      </c>
      <c r="V51" t="s">
        <v>664</v>
      </c>
      <c r="W51" t="s">
        <v>887</v>
      </c>
      <c r="X51" t="s">
        <v>207</v>
      </c>
      <c r="Y51" t="s">
        <v>883</v>
      </c>
      <c r="Z51" t="s">
        <v>884</v>
      </c>
      <c r="AA51">
        <v>2000</v>
      </c>
      <c r="AB51" t="s">
        <v>239</v>
      </c>
      <c r="AC51">
        <v>10</v>
      </c>
      <c r="AD51" t="s">
        <v>254</v>
      </c>
      <c r="AE51" t="s">
        <v>885</v>
      </c>
      <c r="AP51">
        <v>0.45</v>
      </c>
      <c r="AS51" t="s">
        <v>267</v>
      </c>
      <c r="AT51" t="s">
        <v>888</v>
      </c>
      <c r="AY51">
        <v>-18</v>
      </c>
      <c r="BF51" t="s">
        <v>283</v>
      </c>
      <c r="BG51" t="s">
        <v>288</v>
      </c>
      <c r="BH51" t="s">
        <v>665</v>
      </c>
      <c r="BI51" t="s">
        <v>666</v>
      </c>
      <c r="BJ51" t="s">
        <v>665</v>
      </c>
      <c r="BK51" t="s">
        <v>207</v>
      </c>
      <c r="BQ51">
        <v>1</v>
      </c>
      <c r="BS51" t="s">
        <v>624</v>
      </c>
      <c r="BU51" t="s">
        <v>672</v>
      </c>
    </row>
    <row r="52" spans="1:73" x14ac:dyDescent="0.2">
      <c r="A52" t="s">
        <v>742</v>
      </c>
      <c r="B52" t="s">
        <v>211</v>
      </c>
      <c r="E52" t="str">
        <f>_xlfn.CONCAT(projectMetadata!$D$8,"_",sampleMetadata!A52)</f>
        <v>CROP_2024_0409</v>
      </c>
      <c r="F52" t="str">
        <f t="shared" si="2"/>
        <v>0409</v>
      </c>
      <c r="G52" t="str">
        <f t="shared" si="3"/>
        <v>0409</v>
      </c>
      <c r="H52" t="s">
        <v>869</v>
      </c>
      <c r="J52">
        <v>-0.81844388800000001</v>
      </c>
      <c r="K52">
        <v>54.304359957000003</v>
      </c>
      <c r="P52" t="s">
        <v>693</v>
      </c>
      <c r="Q52" s="7">
        <v>45404.440972222219</v>
      </c>
      <c r="R52" t="s">
        <v>663</v>
      </c>
      <c r="U52" t="s">
        <v>886</v>
      </c>
      <c r="V52" t="s">
        <v>664</v>
      </c>
      <c r="W52" t="s">
        <v>887</v>
      </c>
      <c r="X52" t="s">
        <v>207</v>
      </c>
      <c r="Y52" t="s">
        <v>883</v>
      </c>
      <c r="Z52" t="s">
        <v>884</v>
      </c>
      <c r="AA52">
        <v>2000</v>
      </c>
      <c r="AB52" t="s">
        <v>239</v>
      </c>
      <c r="AC52">
        <v>10</v>
      </c>
      <c r="AD52" t="s">
        <v>254</v>
      </c>
      <c r="AE52" t="s">
        <v>885</v>
      </c>
      <c r="AP52">
        <v>0.45</v>
      </c>
      <c r="AS52" t="s">
        <v>267</v>
      </c>
      <c r="AT52" t="s">
        <v>888</v>
      </c>
      <c r="AY52">
        <v>-18</v>
      </c>
      <c r="BF52" t="s">
        <v>283</v>
      </c>
      <c r="BG52" t="s">
        <v>288</v>
      </c>
      <c r="BH52" t="s">
        <v>665</v>
      </c>
      <c r="BI52" t="s">
        <v>666</v>
      </c>
      <c r="BJ52" t="s">
        <v>665</v>
      </c>
      <c r="BK52" t="s">
        <v>207</v>
      </c>
      <c r="BQ52">
        <v>1</v>
      </c>
      <c r="BS52" t="s">
        <v>624</v>
      </c>
      <c r="BU52" t="s">
        <v>672</v>
      </c>
    </row>
    <row r="53" spans="1:73" x14ac:dyDescent="0.2">
      <c r="A53" t="s">
        <v>743</v>
      </c>
      <c r="B53" t="s">
        <v>211</v>
      </c>
      <c r="E53" t="str">
        <f>_xlfn.CONCAT(projectMetadata!$D$8,"_",sampleMetadata!A53)</f>
        <v>CROP_2024_0410</v>
      </c>
      <c r="F53" t="str">
        <f t="shared" si="2"/>
        <v>0410</v>
      </c>
      <c r="G53" t="str">
        <f t="shared" si="3"/>
        <v>0410</v>
      </c>
      <c r="H53" t="s">
        <v>869</v>
      </c>
      <c r="J53">
        <v>-0.81895989270000003</v>
      </c>
      <c r="K53">
        <v>54.304236095500002</v>
      </c>
      <c r="P53" t="s">
        <v>693</v>
      </c>
      <c r="Q53" s="7">
        <v>45404.434027777781</v>
      </c>
      <c r="R53" t="s">
        <v>663</v>
      </c>
      <c r="U53" t="s">
        <v>886</v>
      </c>
      <c r="V53" t="s">
        <v>664</v>
      </c>
      <c r="W53" t="s">
        <v>887</v>
      </c>
      <c r="X53" t="s">
        <v>207</v>
      </c>
      <c r="Y53" t="s">
        <v>883</v>
      </c>
      <c r="Z53" t="s">
        <v>884</v>
      </c>
      <c r="AA53">
        <v>2000</v>
      </c>
      <c r="AB53" t="s">
        <v>239</v>
      </c>
      <c r="AC53">
        <v>10</v>
      </c>
      <c r="AD53" t="s">
        <v>254</v>
      </c>
      <c r="AE53" t="s">
        <v>885</v>
      </c>
      <c r="AP53">
        <v>0.45</v>
      </c>
      <c r="AS53" t="s">
        <v>267</v>
      </c>
      <c r="AT53" t="s">
        <v>888</v>
      </c>
      <c r="AY53">
        <v>-18</v>
      </c>
      <c r="BF53" t="s">
        <v>283</v>
      </c>
      <c r="BG53" t="s">
        <v>288</v>
      </c>
      <c r="BH53" t="s">
        <v>665</v>
      </c>
      <c r="BI53" t="s">
        <v>666</v>
      </c>
      <c r="BJ53" t="s">
        <v>665</v>
      </c>
      <c r="BK53" t="s">
        <v>207</v>
      </c>
      <c r="BQ53">
        <v>1</v>
      </c>
      <c r="BS53" t="s">
        <v>624</v>
      </c>
      <c r="BU53" t="s">
        <v>672</v>
      </c>
    </row>
    <row r="54" spans="1:73" x14ac:dyDescent="0.2">
      <c r="A54" t="s">
        <v>744</v>
      </c>
      <c r="B54" t="s">
        <v>212</v>
      </c>
      <c r="C54" t="s">
        <v>220</v>
      </c>
      <c r="E54" t="str">
        <f>_xlfn.CONCAT(projectMetadata!$D$8,"_",sampleMetadata!A54)</f>
        <v>CROP_2024_04EB</v>
      </c>
      <c r="F54" t="str">
        <f t="shared" si="2"/>
        <v>04EB</v>
      </c>
      <c r="G54" t="str">
        <f t="shared" si="3"/>
        <v>04EB</v>
      </c>
      <c r="J54" s="8"/>
      <c r="K54" s="9"/>
      <c r="Q54" s="7"/>
      <c r="BF54" t="s">
        <v>283</v>
      </c>
      <c r="BG54" t="s">
        <v>288</v>
      </c>
      <c r="BH54" t="s">
        <v>665</v>
      </c>
      <c r="BI54" t="s">
        <v>666</v>
      </c>
      <c r="BJ54" t="s">
        <v>665</v>
      </c>
      <c r="BK54" t="s">
        <v>207</v>
      </c>
      <c r="BQ54">
        <v>1</v>
      </c>
      <c r="BS54" t="s">
        <v>624</v>
      </c>
      <c r="BU54" t="s">
        <v>672</v>
      </c>
    </row>
    <row r="55" spans="1:73" x14ac:dyDescent="0.2">
      <c r="A55" t="s">
        <v>745</v>
      </c>
      <c r="B55" t="s">
        <v>212</v>
      </c>
      <c r="C55" t="s">
        <v>218</v>
      </c>
      <c r="E55" t="str">
        <f>_xlfn.CONCAT(projectMetadata!$D$8,"_",sampleMetadata!A55)</f>
        <v>CROP_2024_04FB</v>
      </c>
      <c r="F55" t="str">
        <f t="shared" si="2"/>
        <v>04FB</v>
      </c>
      <c r="G55" t="str">
        <f t="shared" si="3"/>
        <v>04FB</v>
      </c>
      <c r="J55" s="8"/>
      <c r="K55" s="9"/>
      <c r="Q55" s="7"/>
      <c r="AP55">
        <v>0.45</v>
      </c>
      <c r="AS55" t="s">
        <v>267</v>
      </c>
      <c r="AT55" t="s">
        <v>888</v>
      </c>
      <c r="AY55">
        <v>-18</v>
      </c>
      <c r="BF55" t="s">
        <v>283</v>
      </c>
      <c r="BG55" t="s">
        <v>288</v>
      </c>
      <c r="BH55" t="s">
        <v>665</v>
      </c>
      <c r="BI55" t="s">
        <v>666</v>
      </c>
      <c r="BJ55" t="s">
        <v>665</v>
      </c>
      <c r="BK55" t="s">
        <v>207</v>
      </c>
      <c r="BQ55">
        <v>1</v>
      </c>
      <c r="BS55" t="s">
        <v>624</v>
      </c>
      <c r="BU55" t="s">
        <v>669</v>
      </c>
    </row>
    <row r="56" spans="1:73" x14ac:dyDescent="0.2">
      <c r="A56" t="s">
        <v>746</v>
      </c>
      <c r="B56" t="s">
        <v>211</v>
      </c>
      <c r="E56" t="str">
        <f>_xlfn.CONCAT(projectMetadata!$D$8,"_",sampleMetadata!A56)</f>
        <v>CROP_2024_0501</v>
      </c>
      <c r="F56" t="str">
        <f t="shared" si="2"/>
        <v>0501</v>
      </c>
      <c r="G56" t="str">
        <f t="shared" si="3"/>
        <v>0501</v>
      </c>
      <c r="H56" t="s">
        <v>871</v>
      </c>
      <c r="J56">
        <v>-0.81100264290000001</v>
      </c>
      <c r="K56">
        <v>54.305806249900002</v>
      </c>
      <c r="P56" t="s">
        <v>693</v>
      </c>
      <c r="Q56" s="7">
        <v>45434.559027777781</v>
      </c>
      <c r="R56" t="s">
        <v>663</v>
      </c>
      <c r="U56" t="s">
        <v>886</v>
      </c>
      <c r="V56" t="s">
        <v>664</v>
      </c>
      <c r="W56" t="s">
        <v>887</v>
      </c>
      <c r="X56" t="s">
        <v>207</v>
      </c>
      <c r="Y56" t="s">
        <v>883</v>
      </c>
      <c r="Z56" t="s">
        <v>884</v>
      </c>
      <c r="AA56">
        <v>2000</v>
      </c>
      <c r="AB56" t="s">
        <v>239</v>
      </c>
      <c r="AC56">
        <v>10</v>
      </c>
      <c r="AD56" t="s">
        <v>254</v>
      </c>
      <c r="AE56" t="s">
        <v>885</v>
      </c>
      <c r="AP56">
        <v>0.45</v>
      </c>
      <c r="AS56" t="s">
        <v>267</v>
      </c>
      <c r="AT56" t="s">
        <v>888</v>
      </c>
      <c r="AY56">
        <v>-18</v>
      </c>
      <c r="BF56" t="s">
        <v>283</v>
      </c>
      <c r="BG56" t="s">
        <v>288</v>
      </c>
      <c r="BH56" t="s">
        <v>665</v>
      </c>
      <c r="BI56" t="s">
        <v>666</v>
      </c>
      <c r="BJ56" t="s">
        <v>665</v>
      </c>
      <c r="BK56" t="s">
        <v>207</v>
      </c>
      <c r="BQ56">
        <v>1</v>
      </c>
      <c r="BS56" t="s">
        <v>624</v>
      </c>
      <c r="BU56" t="s">
        <v>669</v>
      </c>
    </row>
    <row r="57" spans="1:73" x14ac:dyDescent="0.2">
      <c r="A57" t="s">
        <v>747</v>
      </c>
      <c r="B57" t="s">
        <v>211</v>
      </c>
      <c r="E57" t="str">
        <f>_xlfn.CONCAT(projectMetadata!$D$8,"_",sampleMetadata!A57)</f>
        <v>CROP_2024_0502</v>
      </c>
      <c r="F57" t="str">
        <f t="shared" si="2"/>
        <v>0502</v>
      </c>
      <c r="G57" t="str">
        <f t="shared" si="3"/>
        <v>0502</v>
      </c>
      <c r="H57" t="s">
        <v>871</v>
      </c>
      <c r="J57">
        <v>-0.80960975670000002</v>
      </c>
      <c r="K57">
        <v>54.306324540200002</v>
      </c>
      <c r="P57" t="s">
        <v>693</v>
      </c>
      <c r="Q57" s="7">
        <v>45434.5625</v>
      </c>
      <c r="R57" t="s">
        <v>663</v>
      </c>
      <c r="U57" t="s">
        <v>886</v>
      </c>
      <c r="V57" t="s">
        <v>664</v>
      </c>
      <c r="W57" t="s">
        <v>887</v>
      </c>
      <c r="X57" t="s">
        <v>207</v>
      </c>
      <c r="Y57" t="s">
        <v>883</v>
      </c>
      <c r="Z57" t="s">
        <v>884</v>
      </c>
      <c r="AA57">
        <v>2000</v>
      </c>
      <c r="AB57" t="s">
        <v>239</v>
      </c>
      <c r="AC57">
        <v>10</v>
      </c>
      <c r="AD57" t="s">
        <v>254</v>
      </c>
      <c r="AE57" t="s">
        <v>885</v>
      </c>
      <c r="AP57">
        <v>0.45</v>
      </c>
      <c r="AS57" t="s">
        <v>267</v>
      </c>
      <c r="AT57" t="s">
        <v>888</v>
      </c>
      <c r="AY57">
        <v>-18</v>
      </c>
      <c r="BF57" t="s">
        <v>283</v>
      </c>
      <c r="BG57" t="s">
        <v>288</v>
      </c>
      <c r="BH57" t="s">
        <v>665</v>
      </c>
      <c r="BI57" t="s">
        <v>666</v>
      </c>
      <c r="BJ57" t="s">
        <v>665</v>
      </c>
      <c r="BK57" t="s">
        <v>207</v>
      </c>
      <c r="BQ57">
        <v>1</v>
      </c>
      <c r="BS57" t="s">
        <v>624</v>
      </c>
      <c r="BU57" t="s">
        <v>669</v>
      </c>
    </row>
    <row r="58" spans="1:73" x14ac:dyDescent="0.2">
      <c r="A58" t="s">
        <v>748</v>
      </c>
      <c r="B58" t="s">
        <v>211</v>
      </c>
      <c r="E58" t="str">
        <f>_xlfn.CONCAT(projectMetadata!$D$8,"_",sampleMetadata!A58)</f>
        <v>CROP_2024_0503</v>
      </c>
      <c r="F58" t="str">
        <f t="shared" si="2"/>
        <v>0503</v>
      </c>
      <c r="G58" t="str">
        <f t="shared" si="3"/>
        <v>0503</v>
      </c>
      <c r="H58" t="s">
        <v>871</v>
      </c>
      <c r="J58">
        <v>-0.81187299260000001</v>
      </c>
      <c r="K58">
        <v>54.305987271100001</v>
      </c>
      <c r="P58" t="s">
        <v>693</v>
      </c>
      <c r="Q58" s="7">
        <v>45434.548611111109</v>
      </c>
      <c r="R58" t="s">
        <v>663</v>
      </c>
      <c r="U58" t="s">
        <v>886</v>
      </c>
      <c r="V58" t="s">
        <v>664</v>
      </c>
      <c r="W58" t="s">
        <v>887</v>
      </c>
      <c r="X58" t="s">
        <v>207</v>
      </c>
      <c r="Y58" t="s">
        <v>883</v>
      </c>
      <c r="Z58" t="s">
        <v>884</v>
      </c>
      <c r="AA58">
        <v>2000</v>
      </c>
      <c r="AB58" t="s">
        <v>239</v>
      </c>
      <c r="AC58">
        <v>10</v>
      </c>
      <c r="AD58" t="s">
        <v>254</v>
      </c>
      <c r="AE58" t="s">
        <v>885</v>
      </c>
      <c r="AP58">
        <v>0.45</v>
      </c>
      <c r="AS58" t="s">
        <v>267</v>
      </c>
      <c r="AT58" t="s">
        <v>888</v>
      </c>
      <c r="AY58">
        <v>-18</v>
      </c>
      <c r="BF58" t="s">
        <v>283</v>
      </c>
      <c r="BG58" t="s">
        <v>288</v>
      </c>
      <c r="BH58" t="s">
        <v>665</v>
      </c>
      <c r="BI58" t="s">
        <v>666</v>
      </c>
      <c r="BJ58" t="s">
        <v>665</v>
      </c>
      <c r="BK58" t="s">
        <v>207</v>
      </c>
      <c r="BQ58">
        <v>1</v>
      </c>
      <c r="BS58" t="s">
        <v>624</v>
      </c>
      <c r="BU58" t="s">
        <v>669</v>
      </c>
    </row>
    <row r="59" spans="1:73" x14ac:dyDescent="0.2">
      <c r="A59" t="s">
        <v>749</v>
      </c>
      <c r="B59" t="s">
        <v>211</v>
      </c>
      <c r="E59" t="str">
        <f>_xlfn.CONCAT(projectMetadata!$D$8,"_",sampleMetadata!A59)</f>
        <v>CROP_2024_0504</v>
      </c>
      <c r="F59" t="str">
        <f t="shared" si="2"/>
        <v>0504</v>
      </c>
      <c r="H59" t="s">
        <v>871</v>
      </c>
      <c r="J59">
        <v>-0.81155620490000002</v>
      </c>
      <c r="K59">
        <v>54.305646188399997</v>
      </c>
      <c r="P59" t="s">
        <v>693</v>
      </c>
      <c r="Q59" s="7">
        <v>45434.541666666664</v>
      </c>
      <c r="R59" t="s">
        <v>663</v>
      </c>
      <c r="U59" t="s">
        <v>886</v>
      </c>
      <c r="V59" t="s">
        <v>664</v>
      </c>
      <c r="W59" t="s">
        <v>887</v>
      </c>
      <c r="X59" t="s">
        <v>207</v>
      </c>
      <c r="Y59" t="s">
        <v>883</v>
      </c>
      <c r="Z59" t="s">
        <v>884</v>
      </c>
      <c r="AA59">
        <v>2000</v>
      </c>
      <c r="AB59" t="s">
        <v>239</v>
      </c>
      <c r="AC59">
        <v>10</v>
      </c>
      <c r="AD59" t="s">
        <v>254</v>
      </c>
      <c r="AE59" t="s">
        <v>885</v>
      </c>
      <c r="AP59">
        <v>0.45</v>
      </c>
      <c r="AS59" t="s">
        <v>267</v>
      </c>
      <c r="AT59" t="s">
        <v>888</v>
      </c>
      <c r="AY59">
        <v>-18</v>
      </c>
      <c r="BF59" t="s">
        <v>283</v>
      </c>
      <c r="BG59" t="s">
        <v>288</v>
      </c>
      <c r="BH59" t="s">
        <v>665</v>
      </c>
      <c r="BI59" t="s">
        <v>666</v>
      </c>
      <c r="BJ59" t="s">
        <v>665</v>
      </c>
      <c r="BK59" t="s">
        <v>207</v>
      </c>
      <c r="BQ59">
        <v>1</v>
      </c>
      <c r="BS59" t="s">
        <v>624</v>
      </c>
      <c r="BU59" t="s">
        <v>669</v>
      </c>
    </row>
    <row r="60" spans="1:73" x14ac:dyDescent="0.2">
      <c r="A60" t="s">
        <v>750</v>
      </c>
      <c r="B60" t="s">
        <v>211</v>
      </c>
      <c r="E60" t="str">
        <f>_xlfn.CONCAT(projectMetadata!$D$8,"_",sampleMetadata!A60)</f>
        <v>CROP_2024_0505</v>
      </c>
      <c r="F60" t="str">
        <f t="shared" si="2"/>
        <v>0505</v>
      </c>
      <c r="H60" t="s">
        <v>871</v>
      </c>
      <c r="J60">
        <v>-0.81322505560000002</v>
      </c>
      <c r="K60">
        <v>54.305209826999999</v>
      </c>
      <c r="P60" t="s">
        <v>693</v>
      </c>
      <c r="Q60" s="7">
        <v>45434.534722222219</v>
      </c>
      <c r="R60" t="s">
        <v>663</v>
      </c>
      <c r="U60" t="s">
        <v>886</v>
      </c>
      <c r="V60" t="s">
        <v>664</v>
      </c>
      <c r="W60" t="s">
        <v>887</v>
      </c>
      <c r="X60" t="s">
        <v>207</v>
      </c>
      <c r="Y60" t="s">
        <v>883</v>
      </c>
      <c r="Z60" t="s">
        <v>884</v>
      </c>
      <c r="AA60">
        <v>2000</v>
      </c>
      <c r="AB60" t="s">
        <v>239</v>
      </c>
      <c r="AC60">
        <v>10</v>
      </c>
      <c r="AD60" t="s">
        <v>254</v>
      </c>
      <c r="AE60" t="s">
        <v>885</v>
      </c>
      <c r="AP60">
        <v>0.45</v>
      </c>
      <c r="AS60" t="s">
        <v>267</v>
      </c>
      <c r="AT60" t="s">
        <v>888</v>
      </c>
      <c r="AY60">
        <v>-18</v>
      </c>
      <c r="BF60" t="s">
        <v>283</v>
      </c>
      <c r="BG60" t="s">
        <v>288</v>
      </c>
      <c r="BH60" t="s">
        <v>665</v>
      </c>
      <c r="BI60" t="s">
        <v>666</v>
      </c>
      <c r="BJ60" t="s">
        <v>665</v>
      </c>
      <c r="BK60" t="s">
        <v>207</v>
      </c>
      <c r="BQ60">
        <v>1</v>
      </c>
      <c r="BS60" t="s">
        <v>624</v>
      </c>
      <c r="BU60" t="s">
        <v>671</v>
      </c>
    </row>
    <row r="61" spans="1:73" x14ac:dyDescent="0.2">
      <c r="A61" t="s">
        <v>751</v>
      </c>
      <c r="B61" t="s">
        <v>211</v>
      </c>
      <c r="E61" t="str">
        <f>_xlfn.CONCAT(projectMetadata!$D$8,"_",sampleMetadata!A61)</f>
        <v>CROP_2024_0506</v>
      </c>
      <c r="F61" t="str">
        <f t="shared" si="2"/>
        <v>0506</v>
      </c>
      <c r="H61" t="s">
        <v>871</v>
      </c>
      <c r="J61">
        <v>-0.81573976209999999</v>
      </c>
      <c r="K61">
        <v>54.304996408400001</v>
      </c>
      <c r="P61" t="s">
        <v>693</v>
      </c>
      <c r="Q61" s="7">
        <v>45434.524305555555</v>
      </c>
      <c r="R61" t="s">
        <v>663</v>
      </c>
      <c r="U61" t="s">
        <v>886</v>
      </c>
      <c r="V61" t="s">
        <v>664</v>
      </c>
      <c r="W61" t="s">
        <v>887</v>
      </c>
      <c r="X61" t="s">
        <v>207</v>
      </c>
      <c r="Y61" t="s">
        <v>883</v>
      </c>
      <c r="Z61" t="s">
        <v>884</v>
      </c>
      <c r="AA61">
        <v>2000</v>
      </c>
      <c r="AB61" t="s">
        <v>239</v>
      </c>
      <c r="AC61">
        <v>10</v>
      </c>
      <c r="AD61" t="s">
        <v>254</v>
      </c>
      <c r="AE61" t="s">
        <v>885</v>
      </c>
      <c r="AP61">
        <v>0.45</v>
      </c>
      <c r="AS61" t="s">
        <v>267</v>
      </c>
      <c r="AT61" t="s">
        <v>888</v>
      </c>
      <c r="AY61">
        <v>-18</v>
      </c>
      <c r="BF61" t="s">
        <v>283</v>
      </c>
      <c r="BG61" t="s">
        <v>288</v>
      </c>
      <c r="BH61" t="s">
        <v>665</v>
      </c>
      <c r="BI61" t="s">
        <v>666</v>
      </c>
      <c r="BJ61" t="s">
        <v>665</v>
      </c>
      <c r="BK61" t="s">
        <v>207</v>
      </c>
      <c r="BQ61">
        <v>1</v>
      </c>
      <c r="BS61" t="s">
        <v>624</v>
      </c>
      <c r="BU61" t="s">
        <v>668</v>
      </c>
    </row>
    <row r="62" spans="1:73" x14ac:dyDescent="0.2">
      <c r="A62" t="s">
        <v>752</v>
      </c>
      <c r="B62" t="s">
        <v>211</v>
      </c>
      <c r="E62" t="str">
        <f>_xlfn.CONCAT(projectMetadata!$D$8,"_",sampleMetadata!A62)</f>
        <v>CROP_2024_0507</v>
      </c>
      <c r="F62" t="str">
        <f t="shared" si="2"/>
        <v>0507</v>
      </c>
      <c r="H62" t="s">
        <v>871</v>
      </c>
      <c r="J62">
        <v>-0.81746413220000003</v>
      </c>
      <c r="K62">
        <v>54.304683900500002</v>
      </c>
      <c r="P62" t="s">
        <v>693</v>
      </c>
      <c r="Q62" s="7">
        <v>45434.520833333336</v>
      </c>
      <c r="R62" t="s">
        <v>663</v>
      </c>
      <c r="U62" t="s">
        <v>886</v>
      </c>
      <c r="V62" t="s">
        <v>664</v>
      </c>
      <c r="W62" t="s">
        <v>887</v>
      </c>
      <c r="X62" t="s">
        <v>207</v>
      </c>
      <c r="Y62" t="s">
        <v>883</v>
      </c>
      <c r="Z62" t="s">
        <v>884</v>
      </c>
      <c r="AA62">
        <v>2000</v>
      </c>
      <c r="AB62" t="s">
        <v>239</v>
      </c>
      <c r="AC62">
        <v>10</v>
      </c>
      <c r="AD62" t="s">
        <v>254</v>
      </c>
      <c r="AE62" t="s">
        <v>885</v>
      </c>
      <c r="AP62">
        <v>0.45</v>
      </c>
      <c r="AS62" t="s">
        <v>267</v>
      </c>
      <c r="AT62" t="s">
        <v>888</v>
      </c>
      <c r="AY62">
        <v>-18</v>
      </c>
      <c r="BF62" t="s">
        <v>283</v>
      </c>
      <c r="BG62" t="s">
        <v>288</v>
      </c>
      <c r="BH62" t="s">
        <v>665</v>
      </c>
      <c r="BI62" t="s">
        <v>666</v>
      </c>
      <c r="BJ62" t="s">
        <v>665</v>
      </c>
      <c r="BK62" t="s">
        <v>207</v>
      </c>
      <c r="BQ62">
        <v>1</v>
      </c>
      <c r="BS62" t="s">
        <v>624</v>
      </c>
      <c r="BU62" t="s">
        <v>672</v>
      </c>
    </row>
    <row r="63" spans="1:73" x14ac:dyDescent="0.2">
      <c r="A63" t="s">
        <v>753</v>
      </c>
      <c r="B63" t="s">
        <v>211</v>
      </c>
      <c r="E63" t="str">
        <f>_xlfn.CONCAT(projectMetadata!$D$8,"_",sampleMetadata!A63)</f>
        <v>CROP_2024_0508</v>
      </c>
      <c r="F63" t="str">
        <f t="shared" si="2"/>
        <v>0508</v>
      </c>
      <c r="H63" t="s">
        <v>871</v>
      </c>
      <c r="J63">
        <v>-0.81789849059999997</v>
      </c>
      <c r="K63">
        <v>54.3045943399</v>
      </c>
      <c r="P63" t="s">
        <v>693</v>
      </c>
      <c r="Q63" s="7">
        <v>45434.513888888891</v>
      </c>
      <c r="R63" t="s">
        <v>663</v>
      </c>
      <c r="U63" t="s">
        <v>886</v>
      </c>
      <c r="V63" t="s">
        <v>664</v>
      </c>
      <c r="W63" t="s">
        <v>887</v>
      </c>
      <c r="X63" t="s">
        <v>207</v>
      </c>
      <c r="Y63" t="s">
        <v>883</v>
      </c>
      <c r="Z63" t="s">
        <v>884</v>
      </c>
      <c r="AA63">
        <v>2000</v>
      </c>
      <c r="AB63" t="s">
        <v>239</v>
      </c>
      <c r="AC63">
        <v>10</v>
      </c>
      <c r="AD63" t="s">
        <v>254</v>
      </c>
      <c r="AE63" t="s">
        <v>885</v>
      </c>
      <c r="AP63">
        <v>0.45</v>
      </c>
      <c r="AS63" t="s">
        <v>267</v>
      </c>
      <c r="AT63" t="s">
        <v>888</v>
      </c>
      <c r="AY63">
        <v>-18</v>
      </c>
      <c r="BF63" t="s">
        <v>283</v>
      </c>
      <c r="BG63" t="s">
        <v>288</v>
      </c>
      <c r="BH63" t="s">
        <v>665</v>
      </c>
      <c r="BI63" t="s">
        <v>666</v>
      </c>
      <c r="BJ63" t="s">
        <v>665</v>
      </c>
      <c r="BK63" t="s">
        <v>207</v>
      </c>
      <c r="BQ63">
        <v>1</v>
      </c>
      <c r="BS63" t="s">
        <v>624</v>
      </c>
      <c r="BU63" t="s">
        <v>667</v>
      </c>
    </row>
    <row r="64" spans="1:73" x14ac:dyDescent="0.2">
      <c r="A64" t="s">
        <v>754</v>
      </c>
      <c r="B64" t="s">
        <v>211</v>
      </c>
      <c r="E64" t="str">
        <f>_xlfn.CONCAT(projectMetadata!$D$8,"_",sampleMetadata!A64)</f>
        <v>CROP_2024_0509</v>
      </c>
      <c r="F64" t="str">
        <f t="shared" si="2"/>
        <v>0509</v>
      </c>
      <c r="H64" t="s">
        <v>871</v>
      </c>
      <c r="J64">
        <v>-0.81844388800000001</v>
      </c>
      <c r="K64">
        <v>54.304359957000003</v>
      </c>
      <c r="P64" t="s">
        <v>693</v>
      </c>
      <c r="Q64" s="7">
        <v>45434.506944444445</v>
      </c>
      <c r="R64" t="s">
        <v>663</v>
      </c>
      <c r="U64" t="s">
        <v>886</v>
      </c>
      <c r="V64" t="s">
        <v>664</v>
      </c>
      <c r="W64" t="s">
        <v>887</v>
      </c>
      <c r="X64" t="s">
        <v>207</v>
      </c>
      <c r="Y64" t="s">
        <v>883</v>
      </c>
      <c r="Z64" t="s">
        <v>884</v>
      </c>
      <c r="AA64">
        <v>2000</v>
      </c>
      <c r="AB64" t="s">
        <v>239</v>
      </c>
      <c r="AC64">
        <v>10</v>
      </c>
      <c r="AD64" t="s">
        <v>254</v>
      </c>
      <c r="AE64" t="s">
        <v>885</v>
      </c>
      <c r="AP64">
        <v>0.45</v>
      </c>
      <c r="AS64" t="s">
        <v>267</v>
      </c>
      <c r="AT64" t="s">
        <v>888</v>
      </c>
      <c r="AY64">
        <v>-18</v>
      </c>
      <c r="BF64" t="s">
        <v>283</v>
      </c>
      <c r="BG64" t="s">
        <v>288</v>
      </c>
      <c r="BH64" t="s">
        <v>665</v>
      </c>
      <c r="BI64" t="s">
        <v>666</v>
      </c>
      <c r="BJ64" t="s">
        <v>665</v>
      </c>
      <c r="BK64" t="s">
        <v>207</v>
      </c>
      <c r="BQ64">
        <v>1</v>
      </c>
      <c r="BS64" t="s">
        <v>624</v>
      </c>
    </row>
    <row r="65" spans="1:71" x14ac:dyDescent="0.2">
      <c r="A65" t="s">
        <v>755</v>
      </c>
      <c r="B65" t="s">
        <v>211</v>
      </c>
      <c r="E65" t="str">
        <f>_xlfn.CONCAT(projectMetadata!$D$8,"_",sampleMetadata!A65)</f>
        <v>CROP_2024_0510</v>
      </c>
      <c r="F65" t="str">
        <f t="shared" si="2"/>
        <v>0510</v>
      </c>
      <c r="H65" t="s">
        <v>871</v>
      </c>
      <c r="J65">
        <v>-0.81895989270000003</v>
      </c>
      <c r="K65">
        <v>54.304236095500002</v>
      </c>
      <c r="P65" t="s">
        <v>693</v>
      </c>
      <c r="Q65" s="7">
        <v>45434.496527777781</v>
      </c>
      <c r="R65" t="s">
        <v>663</v>
      </c>
      <c r="U65" t="s">
        <v>886</v>
      </c>
      <c r="V65" t="s">
        <v>664</v>
      </c>
      <c r="W65" t="s">
        <v>887</v>
      </c>
      <c r="X65" t="s">
        <v>207</v>
      </c>
      <c r="Y65" t="s">
        <v>883</v>
      </c>
      <c r="Z65" t="s">
        <v>884</v>
      </c>
      <c r="AA65">
        <v>2000</v>
      </c>
      <c r="AB65" t="s">
        <v>239</v>
      </c>
      <c r="AC65">
        <v>10</v>
      </c>
      <c r="AD65" t="s">
        <v>254</v>
      </c>
      <c r="AE65" t="s">
        <v>885</v>
      </c>
      <c r="AP65">
        <v>0.45</v>
      </c>
      <c r="AS65" t="s">
        <v>267</v>
      </c>
      <c r="AT65" t="s">
        <v>888</v>
      </c>
      <c r="AY65">
        <v>-18</v>
      </c>
      <c r="BF65" t="s">
        <v>283</v>
      </c>
      <c r="BG65" t="s">
        <v>288</v>
      </c>
      <c r="BH65" t="s">
        <v>665</v>
      </c>
      <c r="BI65" t="s">
        <v>666</v>
      </c>
      <c r="BJ65" t="s">
        <v>665</v>
      </c>
      <c r="BK65" t="s">
        <v>207</v>
      </c>
      <c r="BQ65">
        <v>1</v>
      </c>
      <c r="BS65" t="s">
        <v>624</v>
      </c>
    </row>
    <row r="66" spans="1:71" x14ac:dyDescent="0.2">
      <c r="A66" t="s">
        <v>756</v>
      </c>
      <c r="B66" t="s">
        <v>211</v>
      </c>
      <c r="E66" t="str">
        <f>_xlfn.CONCAT(projectMetadata!$D$8,"_",sampleMetadata!A66)</f>
        <v>CROP_2024_0511</v>
      </c>
      <c r="F66" t="str">
        <f t="shared" si="2"/>
        <v>0511</v>
      </c>
      <c r="H66" t="s">
        <v>871</v>
      </c>
      <c r="J66">
        <v>-0.81992500000000001</v>
      </c>
      <c r="K66">
        <v>54.304091</v>
      </c>
      <c r="P66" t="s">
        <v>693</v>
      </c>
      <c r="Q66" s="7">
        <v>45434.423611111109</v>
      </c>
      <c r="R66" t="s">
        <v>663</v>
      </c>
      <c r="U66" t="s">
        <v>886</v>
      </c>
      <c r="V66" t="s">
        <v>664</v>
      </c>
      <c r="W66" t="s">
        <v>887</v>
      </c>
      <c r="X66" t="s">
        <v>207</v>
      </c>
      <c r="Y66" t="s">
        <v>883</v>
      </c>
      <c r="Z66" t="s">
        <v>884</v>
      </c>
      <c r="AA66">
        <v>2000</v>
      </c>
      <c r="AB66" t="s">
        <v>239</v>
      </c>
      <c r="AC66">
        <v>10</v>
      </c>
      <c r="AD66" t="s">
        <v>254</v>
      </c>
      <c r="AE66" t="s">
        <v>885</v>
      </c>
      <c r="AP66">
        <v>0.45</v>
      </c>
      <c r="AS66" t="s">
        <v>267</v>
      </c>
      <c r="AT66" t="s">
        <v>888</v>
      </c>
      <c r="AY66">
        <v>-18</v>
      </c>
      <c r="BF66" t="s">
        <v>283</v>
      </c>
      <c r="BG66" t="s">
        <v>288</v>
      </c>
      <c r="BH66" t="s">
        <v>665</v>
      </c>
      <c r="BI66" t="s">
        <v>666</v>
      </c>
      <c r="BJ66" t="s">
        <v>665</v>
      </c>
      <c r="BK66" t="s">
        <v>207</v>
      </c>
      <c r="BQ66">
        <v>1</v>
      </c>
      <c r="BS66" t="s">
        <v>624</v>
      </c>
    </row>
    <row r="67" spans="1:71" x14ac:dyDescent="0.2">
      <c r="A67" t="s">
        <v>757</v>
      </c>
      <c r="B67" t="s">
        <v>211</v>
      </c>
      <c r="E67" t="str">
        <f>_xlfn.CONCAT(projectMetadata!$D$8,"_",sampleMetadata!A67)</f>
        <v>CROP_2024_0512</v>
      </c>
      <c r="F67" t="str">
        <f t="shared" si="2"/>
        <v>0512</v>
      </c>
      <c r="H67" t="s">
        <v>871</v>
      </c>
      <c r="J67">
        <v>-0.82961300000000004</v>
      </c>
      <c r="K67">
        <v>54.303711999999997</v>
      </c>
      <c r="P67" t="s">
        <v>693</v>
      </c>
      <c r="Q67" s="7">
        <v>45434.416666666664</v>
      </c>
      <c r="R67" t="s">
        <v>663</v>
      </c>
      <c r="U67" t="s">
        <v>886</v>
      </c>
      <c r="V67" t="s">
        <v>664</v>
      </c>
      <c r="W67" t="s">
        <v>887</v>
      </c>
      <c r="X67" t="s">
        <v>207</v>
      </c>
      <c r="Y67" t="s">
        <v>883</v>
      </c>
      <c r="Z67" t="s">
        <v>884</v>
      </c>
      <c r="AA67">
        <v>2000</v>
      </c>
      <c r="AB67" t="s">
        <v>239</v>
      </c>
      <c r="AC67">
        <v>10</v>
      </c>
      <c r="AD67" t="s">
        <v>254</v>
      </c>
      <c r="AE67" t="s">
        <v>885</v>
      </c>
      <c r="AP67">
        <v>0.45</v>
      </c>
      <c r="AS67" t="s">
        <v>267</v>
      </c>
      <c r="AT67" t="s">
        <v>888</v>
      </c>
      <c r="AY67">
        <v>-18</v>
      </c>
      <c r="BF67" t="s">
        <v>283</v>
      </c>
      <c r="BG67" t="s">
        <v>288</v>
      </c>
      <c r="BH67" t="s">
        <v>665</v>
      </c>
      <c r="BI67" t="s">
        <v>666</v>
      </c>
      <c r="BJ67" t="s">
        <v>665</v>
      </c>
      <c r="BK67" t="s">
        <v>207</v>
      </c>
      <c r="BQ67">
        <v>1</v>
      </c>
      <c r="BS67" t="s">
        <v>624</v>
      </c>
    </row>
    <row r="68" spans="1:71" x14ac:dyDescent="0.2">
      <c r="A68" t="s">
        <v>758</v>
      </c>
      <c r="B68" t="s">
        <v>211</v>
      </c>
      <c r="E68" t="str">
        <f>_xlfn.CONCAT(projectMetadata!$D$8,"_",sampleMetadata!A68)</f>
        <v>CROP_2024_0514</v>
      </c>
      <c r="F68" t="str">
        <f t="shared" ref="F68:F99" si="4">LEFT(A68,9)</f>
        <v>0514</v>
      </c>
      <c r="H68" t="s">
        <v>871</v>
      </c>
      <c r="J68">
        <v>-0.84570699999999999</v>
      </c>
      <c r="K68">
        <v>54.295704999999998</v>
      </c>
      <c r="P68" t="s">
        <v>693</v>
      </c>
      <c r="Q68" s="7">
        <v>45434.399305555555</v>
      </c>
      <c r="R68" t="s">
        <v>663</v>
      </c>
      <c r="U68" t="s">
        <v>886</v>
      </c>
      <c r="V68" t="s">
        <v>664</v>
      </c>
      <c r="W68" t="s">
        <v>887</v>
      </c>
      <c r="X68" t="s">
        <v>207</v>
      </c>
      <c r="Y68" t="s">
        <v>883</v>
      </c>
      <c r="Z68" t="s">
        <v>884</v>
      </c>
      <c r="AA68">
        <v>2000</v>
      </c>
      <c r="AB68" t="s">
        <v>239</v>
      </c>
      <c r="AC68">
        <v>10</v>
      </c>
      <c r="AD68" t="s">
        <v>254</v>
      </c>
      <c r="AE68" t="s">
        <v>885</v>
      </c>
      <c r="AP68">
        <v>0.45</v>
      </c>
      <c r="AS68" t="s">
        <v>267</v>
      </c>
      <c r="AT68" t="s">
        <v>888</v>
      </c>
      <c r="AY68">
        <v>-18</v>
      </c>
      <c r="BF68" t="s">
        <v>283</v>
      </c>
      <c r="BG68" t="s">
        <v>288</v>
      </c>
      <c r="BH68" t="s">
        <v>665</v>
      </c>
      <c r="BI68" t="s">
        <v>666</v>
      </c>
      <c r="BJ68" t="s">
        <v>665</v>
      </c>
      <c r="BK68" t="s">
        <v>207</v>
      </c>
      <c r="BQ68">
        <v>1</v>
      </c>
      <c r="BS68" t="s">
        <v>624</v>
      </c>
    </row>
    <row r="69" spans="1:71" x14ac:dyDescent="0.2">
      <c r="A69" t="s">
        <v>759</v>
      </c>
      <c r="B69" t="s">
        <v>212</v>
      </c>
      <c r="C69" t="s">
        <v>220</v>
      </c>
      <c r="E69" t="str">
        <f>_xlfn.CONCAT(projectMetadata!$D$8,"_",sampleMetadata!A69)</f>
        <v>CROP_2024_05EB</v>
      </c>
      <c r="F69" t="str">
        <f t="shared" si="4"/>
        <v>05EB</v>
      </c>
      <c r="Q69" s="7"/>
      <c r="BF69" t="s">
        <v>283</v>
      </c>
      <c r="BG69" t="s">
        <v>288</v>
      </c>
      <c r="BH69" t="s">
        <v>665</v>
      </c>
      <c r="BI69" t="s">
        <v>666</v>
      </c>
      <c r="BJ69" t="s">
        <v>665</v>
      </c>
      <c r="BK69" t="s">
        <v>207</v>
      </c>
      <c r="BQ69">
        <v>1</v>
      </c>
      <c r="BS69" t="s">
        <v>624</v>
      </c>
    </row>
    <row r="70" spans="1:71" x14ac:dyDescent="0.2">
      <c r="A70" t="s">
        <v>760</v>
      </c>
      <c r="B70" t="s">
        <v>212</v>
      </c>
      <c r="C70" t="s">
        <v>218</v>
      </c>
      <c r="E70" t="str">
        <f>_xlfn.CONCAT(projectMetadata!$D$8,"_",sampleMetadata!A70)</f>
        <v>CROP_2024_05FB</v>
      </c>
      <c r="F70" t="str">
        <f t="shared" si="4"/>
        <v>05FB</v>
      </c>
      <c r="Q70" s="7"/>
      <c r="AP70">
        <v>0.45</v>
      </c>
      <c r="AS70" t="s">
        <v>267</v>
      </c>
      <c r="AT70" t="s">
        <v>888</v>
      </c>
      <c r="AY70">
        <v>-18</v>
      </c>
      <c r="BF70" t="s">
        <v>283</v>
      </c>
      <c r="BG70" t="s">
        <v>288</v>
      </c>
      <c r="BH70" t="s">
        <v>665</v>
      </c>
      <c r="BI70" t="s">
        <v>666</v>
      </c>
      <c r="BJ70" t="s">
        <v>665</v>
      </c>
      <c r="BK70" t="s">
        <v>207</v>
      </c>
      <c r="BQ70">
        <v>1</v>
      </c>
      <c r="BS70" t="s">
        <v>624</v>
      </c>
    </row>
    <row r="71" spans="1:71" x14ac:dyDescent="0.2">
      <c r="A71" t="s">
        <v>761</v>
      </c>
      <c r="B71" t="s">
        <v>211</v>
      </c>
      <c r="E71" t="str">
        <f>_xlfn.CONCAT(projectMetadata!$D$8,"_",sampleMetadata!A71)</f>
        <v>CROP_2024_0601</v>
      </c>
      <c r="F71" t="str">
        <f t="shared" si="4"/>
        <v>0601</v>
      </c>
      <c r="H71" t="s">
        <v>872</v>
      </c>
      <c r="J71">
        <v>-0.81100264290000001</v>
      </c>
      <c r="K71">
        <v>54.305806249900002</v>
      </c>
      <c r="P71" t="s">
        <v>693</v>
      </c>
      <c r="Q71" s="7">
        <v>45453.5</v>
      </c>
      <c r="R71" t="s">
        <v>663</v>
      </c>
      <c r="U71" t="s">
        <v>886</v>
      </c>
      <c r="V71" t="s">
        <v>664</v>
      </c>
      <c r="W71" t="s">
        <v>887</v>
      </c>
      <c r="X71" t="s">
        <v>207</v>
      </c>
      <c r="Y71" t="s">
        <v>883</v>
      </c>
      <c r="Z71" t="s">
        <v>884</v>
      </c>
      <c r="AA71">
        <v>2000</v>
      </c>
      <c r="AB71" t="s">
        <v>239</v>
      </c>
      <c r="AC71">
        <v>10</v>
      </c>
      <c r="AD71" t="s">
        <v>254</v>
      </c>
      <c r="AE71" t="s">
        <v>885</v>
      </c>
      <c r="AP71">
        <v>0.45</v>
      </c>
      <c r="AS71" t="s">
        <v>267</v>
      </c>
      <c r="AT71" t="s">
        <v>888</v>
      </c>
      <c r="AY71">
        <v>-18</v>
      </c>
      <c r="BF71" t="s">
        <v>283</v>
      </c>
      <c r="BG71" t="s">
        <v>288</v>
      </c>
      <c r="BH71" t="s">
        <v>665</v>
      </c>
      <c r="BI71" t="s">
        <v>666</v>
      </c>
      <c r="BJ71" t="s">
        <v>665</v>
      </c>
      <c r="BK71" t="s">
        <v>207</v>
      </c>
      <c r="BQ71">
        <v>1</v>
      </c>
      <c r="BS71" t="s">
        <v>624</v>
      </c>
    </row>
    <row r="72" spans="1:71" x14ac:dyDescent="0.2">
      <c r="A72" t="s">
        <v>762</v>
      </c>
      <c r="B72" t="s">
        <v>211</v>
      </c>
      <c r="E72" t="str">
        <f>_xlfn.CONCAT(projectMetadata!$D$8,"_",sampleMetadata!A72)</f>
        <v>CROP_2024_0602</v>
      </c>
      <c r="F72" t="str">
        <f t="shared" si="4"/>
        <v>0602</v>
      </c>
      <c r="H72" t="s">
        <v>872</v>
      </c>
      <c r="J72">
        <v>-0.80960975670000002</v>
      </c>
      <c r="K72">
        <v>54.306324540200002</v>
      </c>
      <c r="P72" t="s">
        <v>693</v>
      </c>
      <c r="Q72" s="7">
        <v>45453.506944444445</v>
      </c>
      <c r="R72" t="s">
        <v>663</v>
      </c>
      <c r="U72" t="s">
        <v>886</v>
      </c>
      <c r="V72" t="s">
        <v>664</v>
      </c>
      <c r="W72" t="s">
        <v>887</v>
      </c>
      <c r="X72" t="s">
        <v>207</v>
      </c>
      <c r="Y72" t="s">
        <v>883</v>
      </c>
      <c r="Z72" t="s">
        <v>884</v>
      </c>
      <c r="AA72">
        <v>2000</v>
      </c>
      <c r="AB72" t="s">
        <v>239</v>
      </c>
      <c r="AC72">
        <v>10</v>
      </c>
      <c r="AD72" t="s">
        <v>254</v>
      </c>
      <c r="AE72" t="s">
        <v>885</v>
      </c>
      <c r="AP72">
        <v>0.45</v>
      </c>
      <c r="AS72" t="s">
        <v>267</v>
      </c>
      <c r="AT72" t="s">
        <v>888</v>
      </c>
      <c r="AY72">
        <v>-18</v>
      </c>
      <c r="BF72" t="s">
        <v>283</v>
      </c>
      <c r="BG72" t="s">
        <v>288</v>
      </c>
      <c r="BH72" t="s">
        <v>665</v>
      </c>
      <c r="BI72" t="s">
        <v>666</v>
      </c>
      <c r="BJ72" t="s">
        <v>665</v>
      </c>
      <c r="BK72" t="s">
        <v>207</v>
      </c>
      <c r="BQ72">
        <v>1</v>
      </c>
      <c r="BS72" t="s">
        <v>624</v>
      </c>
    </row>
    <row r="73" spans="1:71" x14ac:dyDescent="0.2">
      <c r="A73" t="s">
        <v>763</v>
      </c>
      <c r="B73" t="s">
        <v>211</v>
      </c>
      <c r="E73" t="str">
        <f>_xlfn.CONCAT(projectMetadata!$D$8,"_",sampleMetadata!A73)</f>
        <v>CROP_2024_0603</v>
      </c>
      <c r="F73" t="str">
        <f t="shared" si="4"/>
        <v>0603</v>
      </c>
      <c r="H73" t="s">
        <v>872</v>
      </c>
      <c r="J73">
        <v>-0.81187299260000001</v>
      </c>
      <c r="K73">
        <v>54.305987271100001</v>
      </c>
      <c r="P73" t="s">
        <v>693</v>
      </c>
      <c r="Q73" s="7">
        <v>45453.489583333336</v>
      </c>
      <c r="R73" t="s">
        <v>663</v>
      </c>
      <c r="U73" t="s">
        <v>886</v>
      </c>
      <c r="V73" t="s">
        <v>664</v>
      </c>
      <c r="W73" t="s">
        <v>887</v>
      </c>
      <c r="X73" t="s">
        <v>207</v>
      </c>
      <c r="Y73" t="s">
        <v>883</v>
      </c>
      <c r="Z73" t="s">
        <v>884</v>
      </c>
      <c r="AA73">
        <v>2000</v>
      </c>
      <c r="AB73" t="s">
        <v>239</v>
      </c>
      <c r="AC73">
        <v>10</v>
      </c>
      <c r="AD73" t="s">
        <v>254</v>
      </c>
      <c r="AE73" t="s">
        <v>885</v>
      </c>
      <c r="AP73">
        <v>0.45</v>
      </c>
      <c r="AS73" t="s">
        <v>267</v>
      </c>
      <c r="AT73" t="s">
        <v>888</v>
      </c>
      <c r="AY73">
        <v>-18</v>
      </c>
      <c r="BF73" t="s">
        <v>283</v>
      </c>
      <c r="BG73" t="s">
        <v>288</v>
      </c>
      <c r="BH73" t="s">
        <v>665</v>
      </c>
      <c r="BI73" t="s">
        <v>666</v>
      </c>
      <c r="BJ73" t="s">
        <v>665</v>
      </c>
      <c r="BK73" t="s">
        <v>207</v>
      </c>
      <c r="BQ73">
        <v>1</v>
      </c>
      <c r="BS73" t="s">
        <v>624</v>
      </c>
    </row>
    <row r="74" spans="1:71" x14ac:dyDescent="0.2">
      <c r="A74" t="s">
        <v>764</v>
      </c>
      <c r="B74" t="s">
        <v>211</v>
      </c>
      <c r="E74" t="str">
        <f>_xlfn.CONCAT(projectMetadata!$D$8,"_",sampleMetadata!A74)</f>
        <v>CROP_2024_0604</v>
      </c>
      <c r="F74" t="str">
        <f t="shared" si="4"/>
        <v>0604</v>
      </c>
      <c r="H74" t="s">
        <v>872</v>
      </c>
      <c r="J74">
        <v>-0.81155620490000002</v>
      </c>
      <c r="K74">
        <v>54.305646188399997</v>
      </c>
      <c r="P74" t="s">
        <v>693</v>
      </c>
      <c r="Q74" s="7">
        <v>45453.482638888891</v>
      </c>
      <c r="R74" t="s">
        <v>663</v>
      </c>
      <c r="U74" t="s">
        <v>886</v>
      </c>
      <c r="V74" t="s">
        <v>664</v>
      </c>
      <c r="W74" t="s">
        <v>887</v>
      </c>
      <c r="X74" t="s">
        <v>207</v>
      </c>
      <c r="Y74" t="s">
        <v>883</v>
      </c>
      <c r="Z74" t="s">
        <v>884</v>
      </c>
      <c r="AA74">
        <v>2000</v>
      </c>
      <c r="AB74" t="s">
        <v>239</v>
      </c>
      <c r="AC74">
        <v>10</v>
      </c>
      <c r="AD74" t="s">
        <v>254</v>
      </c>
      <c r="AE74" t="s">
        <v>885</v>
      </c>
      <c r="AP74">
        <v>0.45</v>
      </c>
      <c r="AS74" t="s">
        <v>267</v>
      </c>
      <c r="AT74" t="s">
        <v>888</v>
      </c>
      <c r="AY74">
        <v>-18</v>
      </c>
      <c r="BF74" t="s">
        <v>283</v>
      </c>
      <c r="BG74" t="s">
        <v>288</v>
      </c>
      <c r="BH74" t="s">
        <v>665</v>
      </c>
      <c r="BI74" t="s">
        <v>666</v>
      </c>
      <c r="BJ74" t="s">
        <v>665</v>
      </c>
      <c r="BK74" t="s">
        <v>207</v>
      </c>
      <c r="BQ74">
        <v>1</v>
      </c>
      <c r="BS74" t="s">
        <v>624</v>
      </c>
    </row>
    <row r="75" spans="1:71" x14ac:dyDescent="0.2">
      <c r="A75" t="s">
        <v>765</v>
      </c>
      <c r="B75" t="s">
        <v>211</v>
      </c>
      <c r="E75" t="str">
        <f>_xlfn.CONCAT(projectMetadata!$D$8,"_",sampleMetadata!A75)</f>
        <v>CROP_2024_0605</v>
      </c>
      <c r="F75" t="str">
        <f t="shared" si="4"/>
        <v>0605</v>
      </c>
      <c r="H75" t="s">
        <v>872</v>
      </c>
      <c r="J75">
        <v>-0.81322505560000002</v>
      </c>
      <c r="K75">
        <v>54.305209826999999</v>
      </c>
      <c r="P75" t="s">
        <v>693</v>
      </c>
      <c r="Q75" s="7">
        <v>45453.475694444445</v>
      </c>
      <c r="R75" t="s">
        <v>663</v>
      </c>
      <c r="U75" t="s">
        <v>886</v>
      </c>
      <c r="V75" t="s">
        <v>664</v>
      </c>
      <c r="W75" t="s">
        <v>887</v>
      </c>
      <c r="X75" t="s">
        <v>207</v>
      </c>
      <c r="Y75" t="s">
        <v>883</v>
      </c>
      <c r="Z75" t="s">
        <v>884</v>
      </c>
      <c r="AA75">
        <v>2000</v>
      </c>
      <c r="AB75" t="s">
        <v>239</v>
      </c>
      <c r="AC75">
        <v>10</v>
      </c>
      <c r="AD75" t="s">
        <v>254</v>
      </c>
      <c r="AE75" t="s">
        <v>885</v>
      </c>
      <c r="AP75">
        <v>0.45</v>
      </c>
      <c r="AS75" t="s">
        <v>267</v>
      </c>
      <c r="AT75" t="s">
        <v>888</v>
      </c>
      <c r="AY75">
        <v>-18</v>
      </c>
      <c r="BF75" t="s">
        <v>283</v>
      </c>
      <c r="BG75" t="s">
        <v>288</v>
      </c>
      <c r="BH75" t="s">
        <v>665</v>
      </c>
      <c r="BI75" t="s">
        <v>666</v>
      </c>
      <c r="BJ75" t="s">
        <v>665</v>
      </c>
      <c r="BK75" t="s">
        <v>207</v>
      </c>
      <c r="BQ75">
        <v>1</v>
      </c>
      <c r="BS75" t="s">
        <v>624</v>
      </c>
    </row>
    <row r="76" spans="1:71" x14ac:dyDescent="0.2">
      <c r="A76" t="s">
        <v>766</v>
      </c>
      <c r="B76" t="s">
        <v>211</v>
      </c>
      <c r="E76" t="str">
        <f>_xlfn.CONCAT(projectMetadata!$D$8,"_",sampleMetadata!A76)</f>
        <v>CROP_2024_0606</v>
      </c>
      <c r="F76" t="str">
        <f t="shared" si="4"/>
        <v>0606</v>
      </c>
      <c r="H76" t="s">
        <v>872</v>
      </c>
      <c r="J76">
        <v>-0.81573976209999999</v>
      </c>
      <c r="K76">
        <v>54.304996408400001</v>
      </c>
      <c r="P76" t="s">
        <v>693</v>
      </c>
      <c r="Q76" s="7">
        <v>45453.465277777781</v>
      </c>
      <c r="R76" t="s">
        <v>663</v>
      </c>
      <c r="U76" t="s">
        <v>886</v>
      </c>
      <c r="V76" t="s">
        <v>664</v>
      </c>
      <c r="W76" t="s">
        <v>887</v>
      </c>
      <c r="X76" t="s">
        <v>207</v>
      </c>
      <c r="Y76" t="s">
        <v>883</v>
      </c>
      <c r="Z76" t="s">
        <v>884</v>
      </c>
      <c r="AA76">
        <v>2000</v>
      </c>
      <c r="AB76" t="s">
        <v>239</v>
      </c>
      <c r="AC76">
        <v>10</v>
      </c>
      <c r="AD76" t="s">
        <v>254</v>
      </c>
      <c r="AE76" t="s">
        <v>885</v>
      </c>
      <c r="AP76">
        <v>0.45</v>
      </c>
      <c r="AS76" t="s">
        <v>267</v>
      </c>
      <c r="AT76" t="s">
        <v>888</v>
      </c>
      <c r="AY76">
        <v>-18</v>
      </c>
      <c r="BF76" t="s">
        <v>283</v>
      </c>
      <c r="BG76" t="s">
        <v>288</v>
      </c>
      <c r="BH76" t="s">
        <v>665</v>
      </c>
      <c r="BI76" t="s">
        <v>666</v>
      </c>
      <c r="BJ76" t="s">
        <v>665</v>
      </c>
      <c r="BK76" t="s">
        <v>207</v>
      </c>
      <c r="BQ76">
        <v>1</v>
      </c>
      <c r="BS76" t="s">
        <v>624</v>
      </c>
    </row>
    <row r="77" spans="1:71" x14ac:dyDescent="0.2">
      <c r="A77" t="s">
        <v>767</v>
      </c>
      <c r="B77" t="s">
        <v>211</v>
      </c>
      <c r="E77" t="str">
        <f>_xlfn.CONCAT(projectMetadata!$D$8,"_",sampleMetadata!A77)</f>
        <v>CROP_2024_0607</v>
      </c>
      <c r="F77" t="str">
        <f t="shared" si="4"/>
        <v>0607</v>
      </c>
      <c r="H77" t="s">
        <v>872</v>
      </c>
      <c r="J77">
        <v>-0.81746413220000003</v>
      </c>
      <c r="K77">
        <v>54.304683900500002</v>
      </c>
      <c r="P77" t="s">
        <v>693</v>
      </c>
      <c r="Q77" s="7">
        <v>45453.461805555555</v>
      </c>
      <c r="R77" t="s">
        <v>663</v>
      </c>
      <c r="U77" t="s">
        <v>886</v>
      </c>
      <c r="V77" t="s">
        <v>664</v>
      </c>
      <c r="W77" t="s">
        <v>887</v>
      </c>
      <c r="X77" t="s">
        <v>207</v>
      </c>
      <c r="Y77" t="s">
        <v>883</v>
      </c>
      <c r="Z77" t="s">
        <v>884</v>
      </c>
      <c r="AA77">
        <v>2000</v>
      </c>
      <c r="AB77" t="s">
        <v>239</v>
      </c>
      <c r="AC77">
        <v>10</v>
      </c>
      <c r="AD77" t="s">
        <v>254</v>
      </c>
      <c r="AE77" t="s">
        <v>885</v>
      </c>
      <c r="AP77">
        <v>0.45</v>
      </c>
      <c r="AS77" t="s">
        <v>267</v>
      </c>
      <c r="AT77" t="s">
        <v>888</v>
      </c>
      <c r="AY77">
        <v>-18</v>
      </c>
      <c r="BF77" t="s">
        <v>283</v>
      </c>
      <c r="BG77" t="s">
        <v>288</v>
      </c>
      <c r="BH77" t="s">
        <v>665</v>
      </c>
      <c r="BI77" t="s">
        <v>666</v>
      </c>
      <c r="BJ77" t="s">
        <v>665</v>
      </c>
      <c r="BK77" t="s">
        <v>207</v>
      </c>
      <c r="BQ77">
        <v>1</v>
      </c>
      <c r="BS77" t="s">
        <v>624</v>
      </c>
    </row>
    <row r="78" spans="1:71" x14ac:dyDescent="0.2">
      <c r="A78" t="s">
        <v>768</v>
      </c>
      <c r="B78" t="s">
        <v>211</v>
      </c>
      <c r="E78" t="str">
        <f>_xlfn.CONCAT(projectMetadata!$D$8,"_",sampleMetadata!A78)</f>
        <v>CROP_2024_0608</v>
      </c>
      <c r="F78" t="str">
        <f t="shared" si="4"/>
        <v>0608</v>
      </c>
      <c r="H78" t="s">
        <v>872</v>
      </c>
      <c r="J78">
        <v>-0.81789849059999997</v>
      </c>
      <c r="K78">
        <v>54.3045943399</v>
      </c>
      <c r="P78" t="s">
        <v>693</v>
      </c>
      <c r="Q78" s="7">
        <v>45453.458333333336</v>
      </c>
      <c r="R78" t="s">
        <v>663</v>
      </c>
      <c r="U78" t="s">
        <v>886</v>
      </c>
      <c r="V78" t="s">
        <v>664</v>
      </c>
      <c r="W78" t="s">
        <v>887</v>
      </c>
      <c r="X78" t="s">
        <v>207</v>
      </c>
      <c r="Y78" t="s">
        <v>883</v>
      </c>
      <c r="Z78" t="s">
        <v>884</v>
      </c>
      <c r="AA78">
        <v>2000</v>
      </c>
      <c r="AB78" t="s">
        <v>239</v>
      </c>
      <c r="AC78">
        <v>10</v>
      </c>
      <c r="AD78" t="s">
        <v>254</v>
      </c>
      <c r="AE78" t="s">
        <v>885</v>
      </c>
      <c r="AP78">
        <v>0.45</v>
      </c>
      <c r="AS78" t="s">
        <v>267</v>
      </c>
      <c r="AT78" t="s">
        <v>888</v>
      </c>
      <c r="AY78">
        <v>-18</v>
      </c>
      <c r="BF78" t="s">
        <v>283</v>
      </c>
      <c r="BG78" t="s">
        <v>288</v>
      </c>
      <c r="BH78" t="s">
        <v>665</v>
      </c>
      <c r="BI78" t="s">
        <v>666</v>
      </c>
      <c r="BJ78" t="s">
        <v>665</v>
      </c>
      <c r="BK78" t="s">
        <v>207</v>
      </c>
      <c r="BQ78">
        <v>1</v>
      </c>
      <c r="BS78" t="s">
        <v>624</v>
      </c>
    </row>
    <row r="79" spans="1:71" x14ac:dyDescent="0.2">
      <c r="A79" t="s">
        <v>769</v>
      </c>
      <c r="B79" t="s">
        <v>211</v>
      </c>
      <c r="E79" t="str">
        <f>_xlfn.CONCAT(projectMetadata!$D$8,"_",sampleMetadata!A79)</f>
        <v>CROP_2024_0609</v>
      </c>
      <c r="F79" t="str">
        <f t="shared" si="4"/>
        <v>0609</v>
      </c>
      <c r="H79" t="s">
        <v>872</v>
      </c>
      <c r="J79">
        <v>-0.81844388800000001</v>
      </c>
      <c r="K79">
        <v>54.304359957000003</v>
      </c>
      <c r="P79" t="s">
        <v>693</v>
      </c>
      <c r="Q79" s="7">
        <v>45453.451388888891</v>
      </c>
      <c r="R79" t="s">
        <v>663</v>
      </c>
      <c r="U79" t="s">
        <v>886</v>
      </c>
      <c r="V79" t="s">
        <v>664</v>
      </c>
      <c r="W79" t="s">
        <v>887</v>
      </c>
      <c r="X79" t="s">
        <v>207</v>
      </c>
      <c r="Y79" t="s">
        <v>883</v>
      </c>
      <c r="Z79" t="s">
        <v>884</v>
      </c>
      <c r="AA79">
        <v>2000</v>
      </c>
      <c r="AB79" t="s">
        <v>239</v>
      </c>
      <c r="AC79">
        <v>10</v>
      </c>
      <c r="AD79" t="s">
        <v>254</v>
      </c>
      <c r="AE79" t="s">
        <v>885</v>
      </c>
      <c r="AP79">
        <v>0.45</v>
      </c>
      <c r="AS79" t="s">
        <v>267</v>
      </c>
      <c r="AT79" t="s">
        <v>888</v>
      </c>
      <c r="AY79">
        <v>-18</v>
      </c>
      <c r="BF79" t="s">
        <v>283</v>
      </c>
      <c r="BG79" t="s">
        <v>288</v>
      </c>
      <c r="BH79" t="s">
        <v>665</v>
      </c>
      <c r="BI79" t="s">
        <v>666</v>
      </c>
      <c r="BJ79" t="s">
        <v>665</v>
      </c>
      <c r="BK79" t="s">
        <v>207</v>
      </c>
      <c r="BQ79">
        <v>1</v>
      </c>
      <c r="BS79" t="s">
        <v>624</v>
      </c>
    </row>
    <row r="80" spans="1:71" x14ac:dyDescent="0.2">
      <c r="A80" t="s">
        <v>770</v>
      </c>
      <c r="B80" t="s">
        <v>211</v>
      </c>
      <c r="E80" t="str">
        <f>_xlfn.CONCAT(projectMetadata!$D$8,"_",sampleMetadata!A80)</f>
        <v>CROP_2024_0610</v>
      </c>
      <c r="F80" t="str">
        <f t="shared" si="4"/>
        <v>0610</v>
      </c>
      <c r="H80" t="s">
        <v>872</v>
      </c>
      <c r="J80">
        <v>-0.81895989270000003</v>
      </c>
      <c r="K80">
        <v>54.304236095500002</v>
      </c>
      <c r="P80" t="s">
        <v>693</v>
      </c>
      <c r="Q80" s="7">
        <v>45453.444444444445</v>
      </c>
      <c r="R80" t="s">
        <v>663</v>
      </c>
      <c r="U80" t="s">
        <v>886</v>
      </c>
      <c r="V80" t="s">
        <v>664</v>
      </c>
      <c r="W80" t="s">
        <v>887</v>
      </c>
      <c r="X80" t="s">
        <v>207</v>
      </c>
      <c r="Y80" t="s">
        <v>883</v>
      </c>
      <c r="Z80" t="s">
        <v>884</v>
      </c>
      <c r="AA80">
        <v>2000</v>
      </c>
      <c r="AB80" t="s">
        <v>239</v>
      </c>
      <c r="AC80">
        <v>10</v>
      </c>
      <c r="AD80" t="s">
        <v>254</v>
      </c>
      <c r="AE80" t="s">
        <v>885</v>
      </c>
      <c r="AP80">
        <v>0.45</v>
      </c>
      <c r="AS80" t="s">
        <v>267</v>
      </c>
      <c r="AT80" t="s">
        <v>888</v>
      </c>
      <c r="AY80">
        <v>-18</v>
      </c>
      <c r="BF80" t="s">
        <v>283</v>
      </c>
      <c r="BG80" t="s">
        <v>288</v>
      </c>
      <c r="BH80" t="s">
        <v>665</v>
      </c>
      <c r="BI80" t="s">
        <v>666</v>
      </c>
      <c r="BJ80" t="s">
        <v>665</v>
      </c>
      <c r="BK80" t="s">
        <v>207</v>
      </c>
      <c r="BQ80">
        <v>1</v>
      </c>
      <c r="BS80" t="s">
        <v>624</v>
      </c>
    </row>
    <row r="81" spans="1:71" x14ac:dyDescent="0.2">
      <c r="A81" t="s">
        <v>771</v>
      </c>
      <c r="B81" t="s">
        <v>212</v>
      </c>
      <c r="C81" t="s">
        <v>220</v>
      </c>
      <c r="E81" t="str">
        <f>_xlfn.CONCAT(projectMetadata!$D$8,"_",sampleMetadata!A81)</f>
        <v>CROP_2024_06EB</v>
      </c>
      <c r="F81" t="str">
        <f t="shared" si="4"/>
        <v>06EB</v>
      </c>
      <c r="Q81" s="7"/>
      <c r="BF81" t="s">
        <v>283</v>
      </c>
      <c r="BG81" t="s">
        <v>288</v>
      </c>
      <c r="BH81" t="s">
        <v>665</v>
      </c>
      <c r="BI81" t="s">
        <v>666</v>
      </c>
      <c r="BJ81" t="s">
        <v>665</v>
      </c>
      <c r="BK81" t="s">
        <v>207</v>
      </c>
      <c r="BQ81">
        <v>1</v>
      </c>
      <c r="BS81" t="s">
        <v>624</v>
      </c>
    </row>
    <row r="82" spans="1:71" x14ac:dyDescent="0.2">
      <c r="A82" t="s">
        <v>772</v>
      </c>
      <c r="B82" t="s">
        <v>212</v>
      </c>
      <c r="C82" t="s">
        <v>218</v>
      </c>
      <c r="E82" t="str">
        <f>_xlfn.CONCAT(projectMetadata!$D$8,"_",sampleMetadata!A82)</f>
        <v>CROP_2024_06FB</v>
      </c>
      <c r="F82" t="str">
        <f t="shared" si="4"/>
        <v>06FB</v>
      </c>
      <c r="Q82" s="7"/>
      <c r="AP82">
        <v>0.45</v>
      </c>
      <c r="AS82" t="s">
        <v>267</v>
      </c>
      <c r="AT82" t="s">
        <v>888</v>
      </c>
      <c r="AY82">
        <v>-18</v>
      </c>
      <c r="BF82" t="s">
        <v>283</v>
      </c>
      <c r="BG82" t="s">
        <v>288</v>
      </c>
      <c r="BH82" t="s">
        <v>665</v>
      </c>
      <c r="BI82" t="s">
        <v>666</v>
      </c>
      <c r="BJ82" t="s">
        <v>665</v>
      </c>
      <c r="BK82" t="s">
        <v>207</v>
      </c>
      <c r="BQ82">
        <v>1</v>
      </c>
      <c r="BS82" t="s">
        <v>624</v>
      </c>
    </row>
    <row r="83" spans="1:71" x14ac:dyDescent="0.2">
      <c r="A83" t="s">
        <v>773</v>
      </c>
      <c r="B83" t="s">
        <v>211</v>
      </c>
      <c r="E83" t="str">
        <f>_xlfn.CONCAT(projectMetadata!$D$8,"_",sampleMetadata!A83)</f>
        <v>CROP_2024_0701</v>
      </c>
      <c r="F83" t="str">
        <f t="shared" si="4"/>
        <v>0701</v>
      </c>
      <c r="H83" t="s">
        <v>873</v>
      </c>
      <c r="J83">
        <v>-0.81100264290000001</v>
      </c>
      <c r="K83">
        <v>54.305806249900002</v>
      </c>
      <c r="P83" t="s">
        <v>693</v>
      </c>
      <c r="Q83" s="7">
        <v>45490.565972222219</v>
      </c>
      <c r="R83" t="s">
        <v>663</v>
      </c>
      <c r="U83" t="s">
        <v>886</v>
      </c>
      <c r="V83" t="s">
        <v>664</v>
      </c>
      <c r="W83" t="s">
        <v>887</v>
      </c>
      <c r="X83" t="s">
        <v>207</v>
      </c>
      <c r="Y83" t="s">
        <v>883</v>
      </c>
      <c r="Z83" t="s">
        <v>884</v>
      </c>
      <c r="AA83">
        <v>2000</v>
      </c>
      <c r="AB83" t="s">
        <v>239</v>
      </c>
      <c r="AC83">
        <v>10</v>
      </c>
      <c r="AD83" t="s">
        <v>254</v>
      </c>
      <c r="AE83" t="s">
        <v>885</v>
      </c>
      <c r="AP83">
        <v>0.45</v>
      </c>
      <c r="AS83" t="s">
        <v>267</v>
      </c>
      <c r="AT83" t="s">
        <v>888</v>
      </c>
      <c r="AY83">
        <v>-18</v>
      </c>
      <c r="BF83" t="s">
        <v>283</v>
      </c>
      <c r="BG83" t="s">
        <v>288</v>
      </c>
      <c r="BH83" t="s">
        <v>665</v>
      </c>
      <c r="BI83" t="s">
        <v>666</v>
      </c>
      <c r="BJ83" t="s">
        <v>665</v>
      </c>
      <c r="BK83" t="s">
        <v>207</v>
      </c>
      <c r="BQ83">
        <v>1</v>
      </c>
      <c r="BS83" t="s">
        <v>624</v>
      </c>
    </row>
    <row r="84" spans="1:71" x14ac:dyDescent="0.2">
      <c r="A84" t="s">
        <v>774</v>
      </c>
      <c r="B84" t="s">
        <v>211</v>
      </c>
      <c r="E84" t="str">
        <f>_xlfn.CONCAT(projectMetadata!$D$8,"_",sampleMetadata!A84)</f>
        <v>CROP_2024_0702</v>
      </c>
      <c r="F84" t="str">
        <f t="shared" si="4"/>
        <v>0702</v>
      </c>
      <c r="H84" t="s">
        <v>873</v>
      </c>
      <c r="J84">
        <v>-0.80960975670000002</v>
      </c>
      <c r="K84">
        <v>54.306324540200002</v>
      </c>
      <c r="P84" t="s">
        <v>693</v>
      </c>
      <c r="Q84" s="7">
        <v>45490.572916666664</v>
      </c>
      <c r="R84" t="s">
        <v>663</v>
      </c>
      <c r="U84" t="s">
        <v>886</v>
      </c>
      <c r="V84" t="s">
        <v>664</v>
      </c>
      <c r="W84" t="s">
        <v>887</v>
      </c>
      <c r="X84" t="s">
        <v>207</v>
      </c>
      <c r="Y84" t="s">
        <v>883</v>
      </c>
      <c r="Z84" t="s">
        <v>884</v>
      </c>
      <c r="AA84">
        <v>2000</v>
      </c>
      <c r="AB84" t="s">
        <v>239</v>
      </c>
      <c r="AC84">
        <v>10</v>
      </c>
      <c r="AD84" t="s">
        <v>254</v>
      </c>
      <c r="AE84" t="s">
        <v>885</v>
      </c>
      <c r="AP84">
        <v>0.45</v>
      </c>
      <c r="AS84" t="s">
        <v>267</v>
      </c>
      <c r="AT84" t="s">
        <v>888</v>
      </c>
      <c r="AY84">
        <v>-18</v>
      </c>
      <c r="BF84" t="s">
        <v>283</v>
      </c>
      <c r="BG84" t="s">
        <v>288</v>
      </c>
      <c r="BH84" t="s">
        <v>665</v>
      </c>
      <c r="BI84" t="s">
        <v>666</v>
      </c>
      <c r="BJ84" t="s">
        <v>665</v>
      </c>
      <c r="BK84" t="s">
        <v>207</v>
      </c>
      <c r="BQ84">
        <v>1</v>
      </c>
      <c r="BS84" t="s">
        <v>624</v>
      </c>
    </row>
    <row r="85" spans="1:71" x14ac:dyDescent="0.2">
      <c r="A85" t="s">
        <v>775</v>
      </c>
      <c r="B85" t="s">
        <v>211</v>
      </c>
      <c r="E85" t="str">
        <f>_xlfn.CONCAT(projectMetadata!$D$8,"_",sampleMetadata!A85)</f>
        <v>CROP_2024_0703</v>
      </c>
      <c r="F85" t="str">
        <f t="shared" si="4"/>
        <v>0703</v>
      </c>
      <c r="H85" t="s">
        <v>873</v>
      </c>
      <c r="J85">
        <v>-0.81187299260000001</v>
      </c>
      <c r="K85">
        <v>54.305987271100001</v>
      </c>
      <c r="P85" t="s">
        <v>693</v>
      </c>
      <c r="Q85" s="7">
        <v>45490.555555555555</v>
      </c>
      <c r="R85" t="s">
        <v>663</v>
      </c>
      <c r="U85" t="s">
        <v>886</v>
      </c>
      <c r="V85" t="s">
        <v>664</v>
      </c>
      <c r="W85" t="s">
        <v>887</v>
      </c>
      <c r="X85" t="s">
        <v>207</v>
      </c>
      <c r="Y85" t="s">
        <v>883</v>
      </c>
      <c r="Z85" t="s">
        <v>884</v>
      </c>
      <c r="AA85">
        <v>2000</v>
      </c>
      <c r="AB85" t="s">
        <v>239</v>
      </c>
      <c r="AC85">
        <v>10</v>
      </c>
      <c r="AD85" t="s">
        <v>254</v>
      </c>
      <c r="AE85" t="s">
        <v>885</v>
      </c>
      <c r="AP85">
        <v>0.45</v>
      </c>
      <c r="AS85" t="s">
        <v>267</v>
      </c>
      <c r="AT85" t="s">
        <v>888</v>
      </c>
      <c r="AY85">
        <v>-18</v>
      </c>
      <c r="BF85" t="s">
        <v>283</v>
      </c>
      <c r="BG85" t="s">
        <v>288</v>
      </c>
      <c r="BH85" t="s">
        <v>665</v>
      </c>
      <c r="BI85" t="s">
        <v>666</v>
      </c>
      <c r="BJ85" t="s">
        <v>665</v>
      </c>
      <c r="BK85" t="s">
        <v>207</v>
      </c>
      <c r="BQ85">
        <v>1</v>
      </c>
      <c r="BS85" t="s">
        <v>624</v>
      </c>
    </row>
    <row r="86" spans="1:71" x14ac:dyDescent="0.2">
      <c r="A86" t="s">
        <v>776</v>
      </c>
      <c r="B86" t="s">
        <v>211</v>
      </c>
      <c r="E86" t="str">
        <f>_xlfn.CONCAT(projectMetadata!$D$8,"_",sampleMetadata!A86)</f>
        <v>CROP_2024_0704</v>
      </c>
      <c r="F86" t="str">
        <f t="shared" si="4"/>
        <v>0704</v>
      </c>
      <c r="H86" t="s">
        <v>873</v>
      </c>
      <c r="J86">
        <v>-0.81155620490000002</v>
      </c>
      <c r="K86">
        <v>54.305646188399997</v>
      </c>
      <c r="P86" t="s">
        <v>693</v>
      </c>
      <c r="Q86" s="7">
        <v>45490.548611111109</v>
      </c>
      <c r="R86" t="s">
        <v>663</v>
      </c>
      <c r="U86" t="s">
        <v>886</v>
      </c>
      <c r="V86" t="s">
        <v>664</v>
      </c>
      <c r="W86" t="s">
        <v>887</v>
      </c>
      <c r="X86" t="s">
        <v>207</v>
      </c>
      <c r="Y86" t="s">
        <v>883</v>
      </c>
      <c r="Z86" t="s">
        <v>884</v>
      </c>
      <c r="AA86">
        <v>2000</v>
      </c>
      <c r="AB86" t="s">
        <v>239</v>
      </c>
      <c r="AC86">
        <v>10</v>
      </c>
      <c r="AD86" t="s">
        <v>254</v>
      </c>
      <c r="AE86" t="s">
        <v>885</v>
      </c>
      <c r="AP86">
        <v>0.45</v>
      </c>
      <c r="AS86" t="s">
        <v>267</v>
      </c>
      <c r="AT86" t="s">
        <v>888</v>
      </c>
      <c r="AY86">
        <v>-18</v>
      </c>
      <c r="BF86" t="s">
        <v>283</v>
      </c>
      <c r="BG86" t="s">
        <v>288</v>
      </c>
      <c r="BH86" t="s">
        <v>665</v>
      </c>
      <c r="BI86" t="s">
        <v>666</v>
      </c>
      <c r="BJ86" t="s">
        <v>665</v>
      </c>
      <c r="BK86" t="s">
        <v>207</v>
      </c>
      <c r="BQ86">
        <v>1</v>
      </c>
      <c r="BS86" t="s">
        <v>624</v>
      </c>
    </row>
    <row r="87" spans="1:71" x14ac:dyDescent="0.2">
      <c r="A87" t="s">
        <v>777</v>
      </c>
      <c r="B87" t="s">
        <v>211</v>
      </c>
      <c r="E87" t="str">
        <f>_xlfn.CONCAT(projectMetadata!$D$8,"_",sampleMetadata!A87)</f>
        <v>CROP_2024_0705</v>
      </c>
      <c r="F87" t="str">
        <f t="shared" si="4"/>
        <v>0705</v>
      </c>
      <c r="H87" t="s">
        <v>874</v>
      </c>
      <c r="J87">
        <v>-0.81322505560000002</v>
      </c>
      <c r="K87">
        <v>54.305209826999999</v>
      </c>
      <c r="P87" t="s">
        <v>693</v>
      </c>
      <c r="Q87" s="7">
        <v>45490.534722222219</v>
      </c>
      <c r="R87" t="s">
        <v>663</v>
      </c>
      <c r="U87" t="s">
        <v>886</v>
      </c>
      <c r="V87" t="s">
        <v>664</v>
      </c>
      <c r="W87" t="s">
        <v>887</v>
      </c>
      <c r="X87" t="s">
        <v>207</v>
      </c>
      <c r="Y87" t="s">
        <v>883</v>
      </c>
      <c r="Z87" t="s">
        <v>884</v>
      </c>
      <c r="AA87">
        <v>2000</v>
      </c>
      <c r="AB87" t="s">
        <v>239</v>
      </c>
      <c r="AC87">
        <v>10</v>
      </c>
      <c r="AD87" t="s">
        <v>254</v>
      </c>
      <c r="AE87" t="s">
        <v>885</v>
      </c>
      <c r="AP87">
        <v>0.45</v>
      </c>
      <c r="AS87" t="s">
        <v>267</v>
      </c>
      <c r="AT87" t="s">
        <v>888</v>
      </c>
      <c r="AY87">
        <v>-18</v>
      </c>
      <c r="BF87" t="s">
        <v>283</v>
      </c>
      <c r="BG87" t="s">
        <v>288</v>
      </c>
      <c r="BH87" t="s">
        <v>665</v>
      </c>
      <c r="BI87" t="s">
        <v>666</v>
      </c>
      <c r="BJ87" t="s">
        <v>665</v>
      </c>
      <c r="BK87" t="s">
        <v>207</v>
      </c>
      <c r="BQ87">
        <v>1</v>
      </c>
      <c r="BS87" t="s">
        <v>624</v>
      </c>
    </row>
    <row r="88" spans="1:71" x14ac:dyDescent="0.2">
      <c r="A88" t="s">
        <v>778</v>
      </c>
      <c r="B88" t="s">
        <v>211</v>
      </c>
      <c r="E88" t="str">
        <f>_xlfn.CONCAT(projectMetadata!$D$8,"_",sampleMetadata!A88)</f>
        <v>CROP_2024_0706</v>
      </c>
      <c r="F88" t="str">
        <f t="shared" si="4"/>
        <v>0706</v>
      </c>
      <c r="H88" t="s">
        <v>874</v>
      </c>
      <c r="J88">
        <v>-0.81573976209999999</v>
      </c>
      <c r="K88">
        <v>54.304996408400001</v>
      </c>
      <c r="P88" t="s">
        <v>693</v>
      </c>
      <c r="Q88" s="7">
        <v>45490.520833333336</v>
      </c>
      <c r="R88" t="s">
        <v>663</v>
      </c>
      <c r="U88" t="s">
        <v>886</v>
      </c>
      <c r="V88" t="s">
        <v>664</v>
      </c>
      <c r="W88" t="s">
        <v>887</v>
      </c>
      <c r="X88" t="s">
        <v>207</v>
      </c>
      <c r="Y88" t="s">
        <v>883</v>
      </c>
      <c r="Z88" t="s">
        <v>884</v>
      </c>
      <c r="AA88">
        <v>2000</v>
      </c>
      <c r="AB88" t="s">
        <v>239</v>
      </c>
      <c r="AC88">
        <v>10</v>
      </c>
      <c r="AD88" t="s">
        <v>254</v>
      </c>
      <c r="AE88" t="s">
        <v>885</v>
      </c>
      <c r="AP88">
        <v>0.45</v>
      </c>
      <c r="AS88" t="s">
        <v>267</v>
      </c>
      <c r="AT88" t="s">
        <v>888</v>
      </c>
      <c r="AY88">
        <v>-18</v>
      </c>
      <c r="BF88" t="s">
        <v>283</v>
      </c>
      <c r="BG88" t="s">
        <v>288</v>
      </c>
      <c r="BH88" t="s">
        <v>665</v>
      </c>
      <c r="BI88" t="s">
        <v>666</v>
      </c>
      <c r="BJ88" t="s">
        <v>665</v>
      </c>
      <c r="BK88" t="s">
        <v>207</v>
      </c>
      <c r="BQ88">
        <v>1</v>
      </c>
      <c r="BS88" t="s">
        <v>624</v>
      </c>
    </row>
    <row r="89" spans="1:71" x14ac:dyDescent="0.2">
      <c r="A89" t="s">
        <v>779</v>
      </c>
      <c r="B89" t="s">
        <v>211</v>
      </c>
      <c r="E89" t="str">
        <f>_xlfn.CONCAT(projectMetadata!$D$8,"_",sampleMetadata!A89)</f>
        <v>CROP_2024_0707</v>
      </c>
      <c r="F89" t="str">
        <f t="shared" si="4"/>
        <v>0707</v>
      </c>
      <c r="H89" t="s">
        <v>873</v>
      </c>
      <c r="J89">
        <v>-0.81746413220000003</v>
      </c>
      <c r="K89">
        <v>54.304683900500002</v>
      </c>
      <c r="P89" t="s">
        <v>693</v>
      </c>
      <c r="Q89" s="7">
        <v>45490.510416666664</v>
      </c>
      <c r="R89" t="s">
        <v>663</v>
      </c>
      <c r="U89" t="s">
        <v>886</v>
      </c>
      <c r="V89" t="s">
        <v>664</v>
      </c>
      <c r="W89" t="s">
        <v>887</v>
      </c>
      <c r="X89" t="s">
        <v>207</v>
      </c>
      <c r="Y89" t="s">
        <v>883</v>
      </c>
      <c r="Z89" t="s">
        <v>884</v>
      </c>
      <c r="AA89">
        <v>2000</v>
      </c>
      <c r="AB89" t="s">
        <v>239</v>
      </c>
      <c r="AC89">
        <v>10</v>
      </c>
      <c r="AD89" t="s">
        <v>254</v>
      </c>
      <c r="AE89" t="s">
        <v>885</v>
      </c>
      <c r="AP89">
        <v>0.45</v>
      </c>
      <c r="AS89" t="s">
        <v>267</v>
      </c>
      <c r="AT89" t="s">
        <v>888</v>
      </c>
      <c r="AY89">
        <v>-18</v>
      </c>
      <c r="BF89" t="s">
        <v>283</v>
      </c>
      <c r="BG89" t="s">
        <v>288</v>
      </c>
      <c r="BH89" t="s">
        <v>665</v>
      </c>
      <c r="BI89" t="s">
        <v>666</v>
      </c>
      <c r="BJ89" t="s">
        <v>665</v>
      </c>
      <c r="BK89" t="s">
        <v>207</v>
      </c>
      <c r="BQ89">
        <v>1</v>
      </c>
      <c r="BS89" t="s">
        <v>624</v>
      </c>
    </row>
    <row r="90" spans="1:71" x14ac:dyDescent="0.2">
      <c r="A90" t="s">
        <v>780</v>
      </c>
      <c r="B90" t="s">
        <v>211</v>
      </c>
      <c r="E90" t="str">
        <f>_xlfn.CONCAT(projectMetadata!$D$8,"_",sampleMetadata!A90)</f>
        <v>CROP_2024_0708</v>
      </c>
      <c r="F90" t="str">
        <f t="shared" si="4"/>
        <v>0708</v>
      </c>
      <c r="H90" t="s">
        <v>873</v>
      </c>
      <c r="J90">
        <v>-0.81789849059999997</v>
      </c>
      <c r="K90">
        <v>54.3045943399</v>
      </c>
      <c r="P90" t="s">
        <v>693</v>
      </c>
      <c r="Q90" s="7">
        <v>45490.506944444445</v>
      </c>
      <c r="R90" t="s">
        <v>663</v>
      </c>
      <c r="U90" t="s">
        <v>886</v>
      </c>
      <c r="V90" t="s">
        <v>664</v>
      </c>
      <c r="W90" t="s">
        <v>887</v>
      </c>
      <c r="X90" t="s">
        <v>207</v>
      </c>
      <c r="Y90" t="s">
        <v>883</v>
      </c>
      <c r="Z90" t="s">
        <v>884</v>
      </c>
      <c r="AA90">
        <v>2000</v>
      </c>
      <c r="AB90" t="s">
        <v>239</v>
      </c>
      <c r="AC90">
        <v>10</v>
      </c>
      <c r="AD90" t="s">
        <v>254</v>
      </c>
      <c r="AE90" t="s">
        <v>885</v>
      </c>
      <c r="AP90">
        <v>0.45</v>
      </c>
      <c r="AS90" t="s">
        <v>267</v>
      </c>
      <c r="AT90" t="s">
        <v>888</v>
      </c>
      <c r="AY90">
        <v>-18</v>
      </c>
      <c r="BF90" t="s">
        <v>283</v>
      </c>
      <c r="BG90" t="s">
        <v>288</v>
      </c>
      <c r="BH90" t="s">
        <v>665</v>
      </c>
      <c r="BI90" t="s">
        <v>666</v>
      </c>
      <c r="BJ90" t="s">
        <v>665</v>
      </c>
      <c r="BK90" t="s">
        <v>207</v>
      </c>
      <c r="BQ90">
        <v>1</v>
      </c>
      <c r="BS90" t="s">
        <v>624</v>
      </c>
    </row>
    <row r="91" spans="1:71" x14ac:dyDescent="0.2">
      <c r="A91" t="s">
        <v>781</v>
      </c>
      <c r="B91" t="s">
        <v>211</v>
      </c>
      <c r="E91" t="str">
        <f>_xlfn.CONCAT(projectMetadata!$D$8,"_",sampleMetadata!A91)</f>
        <v>CROP_2024_0709</v>
      </c>
      <c r="F91" t="str">
        <f t="shared" si="4"/>
        <v>0709</v>
      </c>
      <c r="H91" t="s">
        <v>873</v>
      </c>
      <c r="J91">
        <v>-0.81844388800000001</v>
      </c>
      <c r="K91">
        <v>54.304359957000003</v>
      </c>
      <c r="P91" t="s">
        <v>693</v>
      </c>
      <c r="Q91" s="7">
        <v>45490.496527777781</v>
      </c>
      <c r="R91" t="s">
        <v>663</v>
      </c>
      <c r="U91" t="s">
        <v>886</v>
      </c>
      <c r="V91" t="s">
        <v>664</v>
      </c>
      <c r="W91" t="s">
        <v>887</v>
      </c>
      <c r="X91" t="s">
        <v>207</v>
      </c>
      <c r="Y91" t="s">
        <v>883</v>
      </c>
      <c r="Z91" t="s">
        <v>884</v>
      </c>
      <c r="AA91">
        <v>2000</v>
      </c>
      <c r="AB91" t="s">
        <v>239</v>
      </c>
      <c r="AC91">
        <v>10</v>
      </c>
      <c r="AD91" t="s">
        <v>254</v>
      </c>
      <c r="AE91" t="s">
        <v>885</v>
      </c>
      <c r="AP91">
        <v>0.45</v>
      </c>
      <c r="AS91" t="s">
        <v>267</v>
      </c>
      <c r="AT91" t="s">
        <v>888</v>
      </c>
      <c r="AY91">
        <v>-18</v>
      </c>
      <c r="BF91" t="s">
        <v>283</v>
      </c>
      <c r="BG91" t="s">
        <v>288</v>
      </c>
      <c r="BH91" t="s">
        <v>665</v>
      </c>
      <c r="BI91" t="s">
        <v>666</v>
      </c>
      <c r="BJ91" t="s">
        <v>665</v>
      </c>
      <c r="BK91" t="s">
        <v>207</v>
      </c>
      <c r="BQ91">
        <v>1</v>
      </c>
      <c r="BS91" t="s">
        <v>624</v>
      </c>
    </row>
    <row r="92" spans="1:71" x14ac:dyDescent="0.2">
      <c r="A92" t="s">
        <v>782</v>
      </c>
      <c r="B92" t="s">
        <v>211</v>
      </c>
      <c r="E92" t="str">
        <f>_xlfn.CONCAT(projectMetadata!$D$8,"_",sampleMetadata!A92)</f>
        <v>CROP_2024_0710</v>
      </c>
      <c r="F92" t="str">
        <f t="shared" si="4"/>
        <v>0710</v>
      </c>
      <c r="H92" t="s">
        <v>873</v>
      </c>
      <c r="J92">
        <v>-0.81895989270000003</v>
      </c>
      <c r="K92">
        <v>54.304236095500002</v>
      </c>
      <c r="P92" t="s">
        <v>693</v>
      </c>
      <c r="Q92" s="7">
        <v>45490.486111111109</v>
      </c>
      <c r="R92" t="s">
        <v>663</v>
      </c>
      <c r="U92" t="s">
        <v>886</v>
      </c>
      <c r="V92" t="s">
        <v>664</v>
      </c>
      <c r="W92" t="s">
        <v>887</v>
      </c>
      <c r="X92" t="s">
        <v>207</v>
      </c>
      <c r="Y92" t="s">
        <v>883</v>
      </c>
      <c r="Z92" t="s">
        <v>884</v>
      </c>
      <c r="AA92">
        <v>2000</v>
      </c>
      <c r="AB92" t="s">
        <v>239</v>
      </c>
      <c r="AC92">
        <v>10</v>
      </c>
      <c r="AD92" t="s">
        <v>254</v>
      </c>
      <c r="AE92" t="s">
        <v>885</v>
      </c>
      <c r="AP92">
        <v>0.45</v>
      </c>
      <c r="AS92" t="s">
        <v>267</v>
      </c>
      <c r="AT92" t="s">
        <v>888</v>
      </c>
      <c r="AY92">
        <v>-18</v>
      </c>
      <c r="BF92" t="s">
        <v>283</v>
      </c>
      <c r="BG92" t="s">
        <v>288</v>
      </c>
      <c r="BH92" t="s">
        <v>665</v>
      </c>
      <c r="BI92" t="s">
        <v>666</v>
      </c>
      <c r="BJ92" t="s">
        <v>665</v>
      </c>
      <c r="BK92" t="s">
        <v>207</v>
      </c>
      <c r="BQ92">
        <v>1</v>
      </c>
      <c r="BS92" t="s">
        <v>624</v>
      </c>
    </row>
    <row r="93" spans="1:71" x14ac:dyDescent="0.2">
      <c r="A93" t="s">
        <v>783</v>
      </c>
      <c r="B93" t="s">
        <v>212</v>
      </c>
      <c r="C93" t="s">
        <v>220</v>
      </c>
      <c r="E93" t="str">
        <f>_xlfn.CONCAT(projectMetadata!$D$8,"_",sampleMetadata!A93)</f>
        <v>CROP_2024_07EB</v>
      </c>
      <c r="F93" t="str">
        <f t="shared" si="4"/>
        <v>07EB</v>
      </c>
      <c r="Q93" s="7"/>
      <c r="BF93" t="s">
        <v>283</v>
      </c>
      <c r="BG93" t="s">
        <v>288</v>
      </c>
      <c r="BH93" t="s">
        <v>665</v>
      </c>
      <c r="BI93" t="s">
        <v>666</v>
      </c>
      <c r="BJ93" t="s">
        <v>665</v>
      </c>
      <c r="BK93" t="s">
        <v>207</v>
      </c>
      <c r="BQ93">
        <v>1</v>
      </c>
      <c r="BS93" t="s">
        <v>624</v>
      </c>
    </row>
    <row r="94" spans="1:71" x14ac:dyDescent="0.2">
      <c r="A94" t="s">
        <v>784</v>
      </c>
      <c r="B94" t="s">
        <v>212</v>
      </c>
      <c r="C94" t="s">
        <v>218</v>
      </c>
      <c r="E94" t="str">
        <f>_xlfn.CONCAT(projectMetadata!$D$8,"_",sampleMetadata!A94)</f>
        <v>CROP_2024_07FB</v>
      </c>
      <c r="F94" t="str">
        <f t="shared" si="4"/>
        <v>07FB</v>
      </c>
      <c r="Q94" s="7"/>
      <c r="AP94">
        <v>0.45</v>
      </c>
      <c r="AS94" t="s">
        <v>267</v>
      </c>
      <c r="AT94" t="s">
        <v>888</v>
      </c>
      <c r="AY94">
        <v>-18</v>
      </c>
      <c r="BF94" t="s">
        <v>283</v>
      </c>
      <c r="BG94" t="s">
        <v>288</v>
      </c>
      <c r="BH94" t="s">
        <v>665</v>
      </c>
      <c r="BI94" t="s">
        <v>666</v>
      </c>
      <c r="BJ94" t="s">
        <v>665</v>
      </c>
      <c r="BK94" t="s">
        <v>207</v>
      </c>
      <c r="BQ94">
        <v>1</v>
      </c>
      <c r="BS94" t="s">
        <v>624</v>
      </c>
    </row>
    <row r="95" spans="1:71" x14ac:dyDescent="0.2">
      <c r="A95" t="s">
        <v>785</v>
      </c>
      <c r="B95" t="s">
        <v>211</v>
      </c>
      <c r="E95" t="str">
        <f>_xlfn.CONCAT(projectMetadata!$D$8,"_",sampleMetadata!A95)</f>
        <v>CROP_2024_0801</v>
      </c>
      <c r="F95" t="str">
        <f t="shared" si="4"/>
        <v>0801</v>
      </c>
      <c r="H95" t="s">
        <v>875</v>
      </c>
      <c r="J95">
        <v>-0.81100264290000001</v>
      </c>
      <c r="K95">
        <v>54.305806249900002</v>
      </c>
      <c r="P95" t="s">
        <v>693</v>
      </c>
      <c r="Q95" s="7">
        <v>45520.590277777781</v>
      </c>
      <c r="R95" t="s">
        <v>663</v>
      </c>
      <c r="U95" t="s">
        <v>886</v>
      </c>
      <c r="V95" t="s">
        <v>664</v>
      </c>
      <c r="W95" t="s">
        <v>887</v>
      </c>
      <c r="X95" t="s">
        <v>207</v>
      </c>
      <c r="Y95" t="s">
        <v>883</v>
      </c>
      <c r="Z95" t="s">
        <v>884</v>
      </c>
      <c r="AA95">
        <v>2000</v>
      </c>
      <c r="AB95" t="s">
        <v>239</v>
      </c>
      <c r="AC95">
        <v>10</v>
      </c>
      <c r="AD95" t="s">
        <v>254</v>
      </c>
      <c r="AE95" t="s">
        <v>885</v>
      </c>
      <c r="AP95">
        <v>0.45</v>
      </c>
      <c r="AS95" t="s">
        <v>267</v>
      </c>
      <c r="AT95" t="s">
        <v>888</v>
      </c>
      <c r="AY95">
        <v>-18</v>
      </c>
      <c r="BF95" t="s">
        <v>283</v>
      </c>
      <c r="BG95" t="s">
        <v>288</v>
      </c>
      <c r="BH95" t="s">
        <v>665</v>
      </c>
      <c r="BI95" t="s">
        <v>666</v>
      </c>
      <c r="BJ95" t="s">
        <v>665</v>
      </c>
      <c r="BK95" t="s">
        <v>207</v>
      </c>
      <c r="BQ95">
        <v>1</v>
      </c>
      <c r="BS95" t="s">
        <v>624</v>
      </c>
    </row>
    <row r="96" spans="1:71" x14ac:dyDescent="0.2">
      <c r="A96" t="s">
        <v>786</v>
      </c>
      <c r="B96" t="s">
        <v>211</v>
      </c>
      <c r="E96" t="str">
        <f>_xlfn.CONCAT(projectMetadata!$D$8,"_",sampleMetadata!A96)</f>
        <v>CROP_2024_0802</v>
      </c>
      <c r="F96" t="str">
        <f t="shared" si="4"/>
        <v>0802</v>
      </c>
      <c r="H96" t="s">
        <v>875</v>
      </c>
      <c r="J96">
        <v>-0.80960975670000002</v>
      </c>
      <c r="K96">
        <v>54.306324540200002</v>
      </c>
      <c r="P96" t="s">
        <v>693</v>
      </c>
      <c r="Q96" s="7">
        <v>45520.597222222219</v>
      </c>
      <c r="R96" t="s">
        <v>663</v>
      </c>
      <c r="U96" t="s">
        <v>886</v>
      </c>
      <c r="V96" t="s">
        <v>664</v>
      </c>
      <c r="W96" t="s">
        <v>887</v>
      </c>
      <c r="X96" t="s">
        <v>207</v>
      </c>
      <c r="Y96" t="s">
        <v>883</v>
      </c>
      <c r="Z96" t="s">
        <v>884</v>
      </c>
      <c r="AA96">
        <v>2000</v>
      </c>
      <c r="AB96" t="s">
        <v>239</v>
      </c>
      <c r="AC96">
        <v>10</v>
      </c>
      <c r="AD96" t="s">
        <v>254</v>
      </c>
      <c r="AE96" t="s">
        <v>885</v>
      </c>
      <c r="AP96">
        <v>0.45</v>
      </c>
      <c r="AS96" t="s">
        <v>267</v>
      </c>
      <c r="AT96" t="s">
        <v>888</v>
      </c>
      <c r="AY96">
        <v>-18</v>
      </c>
      <c r="BF96" t="s">
        <v>283</v>
      </c>
      <c r="BG96" t="s">
        <v>288</v>
      </c>
      <c r="BH96" t="s">
        <v>665</v>
      </c>
      <c r="BI96" t="s">
        <v>666</v>
      </c>
      <c r="BJ96" t="s">
        <v>665</v>
      </c>
      <c r="BK96" t="s">
        <v>207</v>
      </c>
      <c r="BQ96">
        <v>1</v>
      </c>
      <c r="BS96" t="s">
        <v>624</v>
      </c>
    </row>
    <row r="97" spans="1:71" x14ac:dyDescent="0.2">
      <c r="A97" t="s">
        <v>787</v>
      </c>
      <c r="B97" t="s">
        <v>211</v>
      </c>
      <c r="E97" t="str">
        <f>_xlfn.CONCAT(projectMetadata!$D$8,"_",sampleMetadata!A97)</f>
        <v>CROP_2024_0803</v>
      </c>
      <c r="F97" t="str">
        <f t="shared" si="4"/>
        <v>0803</v>
      </c>
      <c r="H97" t="s">
        <v>875</v>
      </c>
      <c r="J97">
        <v>-0.81187299260000001</v>
      </c>
      <c r="K97">
        <v>54.305987271100001</v>
      </c>
      <c r="P97" t="s">
        <v>693</v>
      </c>
      <c r="Q97" s="7">
        <v>45520.576388888891</v>
      </c>
      <c r="R97" t="s">
        <v>663</v>
      </c>
      <c r="U97" t="s">
        <v>886</v>
      </c>
      <c r="V97" t="s">
        <v>664</v>
      </c>
      <c r="W97" t="s">
        <v>887</v>
      </c>
      <c r="X97" t="s">
        <v>207</v>
      </c>
      <c r="Y97" t="s">
        <v>883</v>
      </c>
      <c r="Z97" t="s">
        <v>884</v>
      </c>
      <c r="AA97">
        <v>2000</v>
      </c>
      <c r="AB97" t="s">
        <v>239</v>
      </c>
      <c r="AC97">
        <v>10</v>
      </c>
      <c r="AD97" t="s">
        <v>254</v>
      </c>
      <c r="AE97" t="s">
        <v>885</v>
      </c>
      <c r="AP97">
        <v>0.45</v>
      </c>
      <c r="AS97" t="s">
        <v>267</v>
      </c>
      <c r="AT97" t="s">
        <v>888</v>
      </c>
      <c r="AY97">
        <v>-18</v>
      </c>
      <c r="BF97" t="s">
        <v>283</v>
      </c>
      <c r="BG97" t="s">
        <v>288</v>
      </c>
      <c r="BH97" t="s">
        <v>665</v>
      </c>
      <c r="BI97" t="s">
        <v>666</v>
      </c>
      <c r="BJ97" t="s">
        <v>665</v>
      </c>
      <c r="BK97" t="s">
        <v>207</v>
      </c>
      <c r="BQ97">
        <v>1</v>
      </c>
      <c r="BS97" t="s">
        <v>624</v>
      </c>
    </row>
    <row r="98" spans="1:71" x14ac:dyDescent="0.2">
      <c r="A98" t="s">
        <v>788</v>
      </c>
      <c r="B98" t="s">
        <v>211</v>
      </c>
      <c r="E98" t="str">
        <f>_xlfn.CONCAT(projectMetadata!$D$8,"_",sampleMetadata!A98)</f>
        <v>CROP_2024_0804</v>
      </c>
      <c r="F98" t="str">
        <f t="shared" si="4"/>
        <v>0804</v>
      </c>
      <c r="H98" t="s">
        <v>875</v>
      </c>
      <c r="J98">
        <v>-0.81155620490000002</v>
      </c>
      <c r="K98">
        <v>54.305646188399997</v>
      </c>
      <c r="P98" t="s">
        <v>693</v>
      </c>
      <c r="Q98" s="7">
        <v>45520.565972222219</v>
      </c>
      <c r="R98" t="s">
        <v>663</v>
      </c>
      <c r="U98" t="s">
        <v>886</v>
      </c>
      <c r="V98" t="s">
        <v>664</v>
      </c>
      <c r="W98" t="s">
        <v>887</v>
      </c>
      <c r="X98" t="s">
        <v>207</v>
      </c>
      <c r="Y98" t="s">
        <v>883</v>
      </c>
      <c r="Z98" t="s">
        <v>884</v>
      </c>
      <c r="AA98">
        <v>2000</v>
      </c>
      <c r="AB98" t="s">
        <v>239</v>
      </c>
      <c r="AC98">
        <v>10</v>
      </c>
      <c r="AD98" t="s">
        <v>254</v>
      </c>
      <c r="AE98" t="s">
        <v>885</v>
      </c>
      <c r="AP98">
        <v>0.45</v>
      </c>
      <c r="AS98" t="s">
        <v>267</v>
      </c>
      <c r="AT98" t="s">
        <v>888</v>
      </c>
      <c r="AY98">
        <v>-18</v>
      </c>
      <c r="BF98" t="s">
        <v>283</v>
      </c>
      <c r="BG98" t="s">
        <v>288</v>
      </c>
      <c r="BH98" t="s">
        <v>665</v>
      </c>
      <c r="BI98" t="s">
        <v>666</v>
      </c>
      <c r="BJ98" t="s">
        <v>665</v>
      </c>
      <c r="BK98" t="s">
        <v>207</v>
      </c>
      <c r="BQ98">
        <v>1</v>
      </c>
      <c r="BS98" t="s">
        <v>624</v>
      </c>
    </row>
    <row r="99" spans="1:71" x14ac:dyDescent="0.2">
      <c r="A99" t="s">
        <v>789</v>
      </c>
      <c r="B99" t="s">
        <v>211</v>
      </c>
      <c r="E99" t="str">
        <f>_xlfn.CONCAT(projectMetadata!$D$8,"_",sampleMetadata!A99)</f>
        <v>CROP_2024_0805</v>
      </c>
      <c r="F99" t="str">
        <f t="shared" si="4"/>
        <v>0805</v>
      </c>
      <c r="H99" t="s">
        <v>875</v>
      </c>
      <c r="J99">
        <v>-0.81322505560000002</v>
      </c>
      <c r="K99">
        <v>54.305209826999999</v>
      </c>
      <c r="P99" t="s">
        <v>693</v>
      </c>
      <c r="Q99" s="7">
        <v>45520.552083333336</v>
      </c>
      <c r="R99" t="s">
        <v>663</v>
      </c>
      <c r="U99" t="s">
        <v>886</v>
      </c>
      <c r="V99" t="s">
        <v>664</v>
      </c>
      <c r="W99" t="s">
        <v>887</v>
      </c>
      <c r="X99" t="s">
        <v>207</v>
      </c>
      <c r="Y99" t="s">
        <v>883</v>
      </c>
      <c r="Z99" t="s">
        <v>884</v>
      </c>
      <c r="AA99">
        <v>2000</v>
      </c>
      <c r="AB99" t="s">
        <v>239</v>
      </c>
      <c r="AC99">
        <v>10</v>
      </c>
      <c r="AD99" t="s">
        <v>254</v>
      </c>
      <c r="AE99" t="s">
        <v>885</v>
      </c>
      <c r="AP99">
        <v>0.45</v>
      </c>
      <c r="AS99" t="s">
        <v>267</v>
      </c>
      <c r="AT99" t="s">
        <v>888</v>
      </c>
      <c r="AY99">
        <v>-18</v>
      </c>
      <c r="BF99" t="s">
        <v>283</v>
      </c>
      <c r="BG99" t="s">
        <v>288</v>
      </c>
      <c r="BH99" t="s">
        <v>665</v>
      </c>
      <c r="BI99" t="s">
        <v>666</v>
      </c>
      <c r="BJ99" t="s">
        <v>665</v>
      </c>
      <c r="BK99" t="s">
        <v>207</v>
      </c>
      <c r="BQ99">
        <v>1</v>
      </c>
      <c r="BS99" t="s">
        <v>624</v>
      </c>
    </row>
    <row r="100" spans="1:71" x14ac:dyDescent="0.2">
      <c r="A100" t="s">
        <v>790</v>
      </c>
      <c r="B100" t="s">
        <v>211</v>
      </c>
      <c r="E100" t="str">
        <f>_xlfn.CONCAT(projectMetadata!$D$8,"_",sampleMetadata!A100)</f>
        <v>CROP_2024_0806</v>
      </c>
      <c r="F100" t="str">
        <f t="shared" ref="F100:F131" si="5">LEFT(A100,9)</f>
        <v>0806</v>
      </c>
      <c r="H100" t="s">
        <v>875</v>
      </c>
      <c r="J100">
        <v>-0.81573976209999999</v>
      </c>
      <c r="K100">
        <v>54.304996408400001</v>
      </c>
      <c r="P100" t="s">
        <v>693</v>
      </c>
      <c r="Q100" s="7">
        <v>45520.545138888891</v>
      </c>
      <c r="R100" t="s">
        <v>663</v>
      </c>
      <c r="U100" t="s">
        <v>886</v>
      </c>
      <c r="V100" t="s">
        <v>664</v>
      </c>
      <c r="W100" t="s">
        <v>887</v>
      </c>
      <c r="X100" t="s">
        <v>207</v>
      </c>
      <c r="Y100" t="s">
        <v>883</v>
      </c>
      <c r="Z100" t="s">
        <v>884</v>
      </c>
      <c r="AA100">
        <v>2000</v>
      </c>
      <c r="AB100" t="s">
        <v>239</v>
      </c>
      <c r="AC100">
        <v>10</v>
      </c>
      <c r="AD100" t="s">
        <v>254</v>
      </c>
      <c r="AE100" t="s">
        <v>885</v>
      </c>
      <c r="AP100">
        <v>0.45</v>
      </c>
      <c r="AS100" t="s">
        <v>267</v>
      </c>
      <c r="AT100" t="s">
        <v>888</v>
      </c>
      <c r="AY100">
        <v>-18</v>
      </c>
      <c r="BF100" t="s">
        <v>283</v>
      </c>
      <c r="BG100" t="s">
        <v>288</v>
      </c>
      <c r="BH100" t="s">
        <v>665</v>
      </c>
      <c r="BI100" t="s">
        <v>666</v>
      </c>
      <c r="BJ100" t="s">
        <v>665</v>
      </c>
      <c r="BK100" t="s">
        <v>207</v>
      </c>
      <c r="BQ100">
        <v>1</v>
      </c>
      <c r="BS100" t="s">
        <v>624</v>
      </c>
    </row>
    <row r="101" spans="1:71" x14ac:dyDescent="0.2">
      <c r="A101" t="s">
        <v>791</v>
      </c>
      <c r="B101" t="s">
        <v>211</v>
      </c>
      <c r="E101" t="str">
        <f>_xlfn.CONCAT(projectMetadata!$D$8,"_",sampleMetadata!A101)</f>
        <v>CROP_2024_0807</v>
      </c>
      <c r="F101" t="str">
        <f t="shared" si="5"/>
        <v>0807</v>
      </c>
      <c r="H101" t="s">
        <v>875</v>
      </c>
      <c r="J101">
        <v>-0.81746413220000003</v>
      </c>
      <c r="K101">
        <v>54.304683900500002</v>
      </c>
      <c r="P101" t="s">
        <v>693</v>
      </c>
      <c r="Q101" s="7">
        <v>45520.534722222219</v>
      </c>
      <c r="R101" t="s">
        <v>663</v>
      </c>
      <c r="U101" t="s">
        <v>886</v>
      </c>
      <c r="V101" t="s">
        <v>664</v>
      </c>
      <c r="W101" t="s">
        <v>887</v>
      </c>
      <c r="X101" t="s">
        <v>207</v>
      </c>
      <c r="Y101" t="s">
        <v>883</v>
      </c>
      <c r="Z101" t="s">
        <v>884</v>
      </c>
      <c r="AA101">
        <v>2000</v>
      </c>
      <c r="AB101" t="s">
        <v>239</v>
      </c>
      <c r="AC101">
        <v>10</v>
      </c>
      <c r="AD101" t="s">
        <v>254</v>
      </c>
      <c r="AE101" t="s">
        <v>885</v>
      </c>
      <c r="AP101">
        <v>0.45</v>
      </c>
      <c r="AS101" t="s">
        <v>267</v>
      </c>
      <c r="AT101" t="s">
        <v>888</v>
      </c>
      <c r="AY101">
        <v>-18</v>
      </c>
      <c r="BF101" t="s">
        <v>283</v>
      </c>
      <c r="BG101" t="s">
        <v>288</v>
      </c>
      <c r="BH101" t="s">
        <v>665</v>
      </c>
      <c r="BI101" t="s">
        <v>666</v>
      </c>
      <c r="BJ101" t="s">
        <v>665</v>
      </c>
      <c r="BK101" t="s">
        <v>207</v>
      </c>
      <c r="BQ101">
        <v>1</v>
      </c>
      <c r="BS101" t="s">
        <v>624</v>
      </c>
    </row>
    <row r="102" spans="1:71" x14ac:dyDescent="0.2">
      <c r="A102" t="s">
        <v>792</v>
      </c>
      <c r="B102" t="s">
        <v>211</v>
      </c>
      <c r="E102" t="str">
        <f>_xlfn.CONCAT(projectMetadata!$D$8,"_",sampleMetadata!A102)</f>
        <v>CROP_2024_0808</v>
      </c>
      <c r="F102" t="str">
        <f t="shared" si="5"/>
        <v>0808</v>
      </c>
      <c r="H102" t="s">
        <v>875</v>
      </c>
      <c r="J102">
        <v>-0.81789849059999997</v>
      </c>
      <c r="K102">
        <v>54.3045943399</v>
      </c>
      <c r="P102" t="s">
        <v>693</v>
      </c>
      <c r="Q102" s="7">
        <v>45520.527777777781</v>
      </c>
      <c r="R102" t="s">
        <v>663</v>
      </c>
      <c r="U102" t="s">
        <v>886</v>
      </c>
      <c r="V102" t="s">
        <v>664</v>
      </c>
      <c r="W102" t="s">
        <v>887</v>
      </c>
      <c r="X102" t="s">
        <v>207</v>
      </c>
      <c r="Y102" t="s">
        <v>883</v>
      </c>
      <c r="Z102" t="s">
        <v>884</v>
      </c>
      <c r="AA102">
        <v>2000</v>
      </c>
      <c r="AB102" t="s">
        <v>239</v>
      </c>
      <c r="AC102">
        <v>10</v>
      </c>
      <c r="AD102" t="s">
        <v>254</v>
      </c>
      <c r="AE102" t="s">
        <v>885</v>
      </c>
      <c r="AP102">
        <v>0.45</v>
      </c>
      <c r="AS102" t="s">
        <v>267</v>
      </c>
      <c r="AT102" t="s">
        <v>888</v>
      </c>
      <c r="AY102">
        <v>-18</v>
      </c>
      <c r="BF102" t="s">
        <v>283</v>
      </c>
      <c r="BG102" t="s">
        <v>288</v>
      </c>
      <c r="BH102" t="s">
        <v>665</v>
      </c>
      <c r="BI102" t="s">
        <v>666</v>
      </c>
      <c r="BJ102" t="s">
        <v>665</v>
      </c>
      <c r="BK102" t="s">
        <v>207</v>
      </c>
      <c r="BQ102">
        <v>1</v>
      </c>
      <c r="BS102" t="s">
        <v>624</v>
      </c>
    </row>
    <row r="103" spans="1:71" x14ac:dyDescent="0.2">
      <c r="A103" t="s">
        <v>793</v>
      </c>
      <c r="B103" t="s">
        <v>211</v>
      </c>
      <c r="E103" t="str">
        <f>_xlfn.CONCAT(projectMetadata!$D$8,"_",sampleMetadata!A103)</f>
        <v>CROP_2024_0809</v>
      </c>
      <c r="F103" t="str">
        <f t="shared" si="5"/>
        <v>0809</v>
      </c>
      <c r="H103" t="s">
        <v>875</v>
      </c>
      <c r="J103">
        <v>-0.81844388800000001</v>
      </c>
      <c r="K103">
        <v>54.304359957000003</v>
      </c>
      <c r="P103" t="s">
        <v>693</v>
      </c>
      <c r="Q103" s="7">
        <v>45520.520833333336</v>
      </c>
      <c r="R103" t="s">
        <v>663</v>
      </c>
      <c r="U103" t="s">
        <v>886</v>
      </c>
      <c r="V103" t="s">
        <v>664</v>
      </c>
      <c r="W103" t="s">
        <v>887</v>
      </c>
      <c r="Y103" t="s">
        <v>883</v>
      </c>
      <c r="Z103" t="s">
        <v>884</v>
      </c>
      <c r="AA103">
        <v>2000</v>
      </c>
      <c r="AB103" t="s">
        <v>239</v>
      </c>
      <c r="AC103">
        <v>10</v>
      </c>
      <c r="AD103" t="s">
        <v>254</v>
      </c>
      <c r="AE103" t="s">
        <v>885</v>
      </c>
      <c r="AP103">
        <v>0.45</v>
      </c>
      <c r="AS103" t="s">
        <v>267</v>
      </c>
      <c r="AT103" t="s">
        <v>888</v>
      </c>
      <c r="AY103">
        <v>-18</v>
      </c>
      <c r="BF103" t="s">
        <v>283</v>
      </c>
      <c r="BG103" t="s">
        <v>288</v>
      </c>
      <c r="BH103" t="s">
        <v>665</v>
      </c>
      <c r="BI103" t="s">
        <v>666</v>
      </c>
      <c r="BJ103" t="s">
        <v>665</v>
      </c>
      <c r="BK103" t="s">
        <v>207</v>
      </c>
      <c r="BQ103">
        <v>1</v>
      </c>
      <c r="BS103" t="s">
        <v>624</v>
      </c>
    </row>
    <row r="104" spans="1:71" x14ac:dyDescent="0.2">
      <c r="A104" t="s">
        <v>794</v>
      </c>
      <c r="B104" t="s">
        <v>211</v>
      </c>
      <c r="E104" t="str">
        <f>_xlfn.CONCAT(projectMetadata!$D$8,"_",sampleMetadata!A104)</f>
        <v>CROP_2024_0810</v>
      </c>
      <c r="F104" t="str">
        <f t="shared" si="5"/>
        <v>0810</v>
      </c>
      <c r="H104" t="s">
        <v>875</v>
      </c>
      <c r="J104">
        <v>-0.81895989270000003</v>
      </c>
      <c r="K104">
        <v>54.304236095500002</v>
      </c>
      <c r="P104" t="s">
        <v>693</v>
      </c>
      <c r="Q104" s="7">
        <v>45520.513888888891</v>
      </c>
      <c r="R104" t="s">
        <v>663</v>
      </c>
      <c r="U104" t="s">
        <v>886</v>
      </c>
      <c r="V104" t="s">
        <v>664</v>
      </c>
      <c r="W104" t="s">
        <v>887</v>
      </c>
      <c r="X104" t="s">
        <v>207</v>
      </c>
      <c r="Y104" t="s">
        <v>883</v>
      </c>
      <c r="Z104" t="s">
        <v>884</v>
      </c>
      <c r="AA104">
        <v>2000</v>
      </c>
      <c r="AB104" t="s">
        <v>239</v>
      </c>
      <c r="AC104">
        <v>10</v>
      </c>
      <c r="AD104" t="s">
        <v>254</v>
      </c>
      <c r="AE104" t="s">
        <v>885</v>
      </c>
      <c r="AP104">
        <v>0.45</v>
      </c>
      <c r="AS104" t="s">
        <v>267</v>
      </c>
      <c r="AT104" t="s">
        <v>888</v>
      </c>
      <c r="AY104">
        <v>-18</v>
      </c>
      <c r="BF104" t="s">
        <v>283</v>
      </c>
      <c r="BG104" t="s">
        <v>288</v>
      </c>
      <c r="BH104" t="s">
        <v>665</v>
      </c>
      <c r="BI104" t="s">
        <v>666</v>
      </c>
      <c r="BJ104" t="s">
        <v>665</v>
      </c>
      <c r="BK104" t="s">
        <v>207</v>
      </c>
      <c r="BQ104">
        <v>1</v>
      </c>
      <c r="BS104" t="s">
        <v>624</v>
      </c>
    </row>
    <row r="105" spans="1:71" x14ac:dyDescent="0.2">
      <c r="A105" t="s">
        <v>795</v>
      </c>
      <c r="B105" t="s">
        <v>211</v>
      </c>
      <c r="E105" t="str">
        <f>_xlfn.CONCAT(projectMetadata!$D$8,"_",sampleMetadata!A105)</f>
        <v>CROP_2024_0811</v>
      </c>
      <c r="F105" t="str">
        <f t="shared" si="5"/>
        <v>0811</v>
      </c>
      <c r="H105" t="s">
        <v>875</v>
      </c>
      <c r="J105">
        <v>-0.81992500000000001</v>
      </c>
      <c r="K105">
        <v>54.304091</v>
      </c>
      <c r="P105" t="s">
        <v>693</v>
      </c>
      <c r="Q105" s="7">
        <v>45520.486111111109</v>
      </c>
      <c r="R105" t="s">
        <v>663</v>
      </c>
      <c r="U105" t="s">
        <v>886</v>
      </c>
      <c r="V105" t="s">
        <v>664</v>
      </c>
      <c r="W105" t="s">
        <v>887</v>
      </c>
      <c r="X105" t="s">
        <v>207</v>
      </c>
      <c r="Y105" t="s">
        <v>883</v>
      </c>
      <c r="Z105" t="s">
        <v>884</v>
      </c>
      <c r="AA105">
        <v>2000</v>
      </c>
      <c r="AB105" t="s">
        <v>239</v>
      </c>
      <c r="AC105">
        <v>10</v>
      </c>
      <c r="AD105" t="s">
        <v>254</v>
      </c>
      <c r="AE105" t="s">
        <v>885</v>
      </c>
      <c r="AP105">
        <v>0.45</v>
      </c>
      <c r="AS105" t="s">
        <v>267</v>
      </c>
      <c r="AT105" t="s">
        <v>888</v>
      </c>
      <c r="AY105">
        <v>-18</v>
      </c>
      <c r="BF105" t="s">
        <v>283</v>
      </c>
      <c r="BG105" t="s">
        <v>288</v>
      </c>
      <c r="BH105" t="s">
        <v>665</v>
      </c>
      <c r="BI105" t="s">
        <v>666</v>
      </c>
      <c r="BJ105" t="s">
        <v>665</v>
      </c>
      <c r="BK105" t="s">
        <v>207</v>
      </c>
      <c r="BQ105">
        <v>1</v>
      </c>
      <c r="BS105" t="s">
        <v>624</v>
      </c>
    </row>
    <row r="106" spans="1:71" x14ac:dyDescent="0.2">
      <c r="A106" t="s">
        <v>796</v>
      </c>
      <c r="B106" t="s">
        <v>211</v>
      </c>
      <c r="E106" t="str">
        <f>_xlfn.CONCAT(projectMetadata!$D$8,"_",sampleMetadata!A106)</f>
        <v>CROP_2024_0812</v>
      </c>
      <c r="F106" t="str">
        <f t="shared" si="5"/>
        <v>0812</v>
      </c>
      <c r="H106" t="s">
        <v>875</v>
      </c>
      <c r="J106">
        <v>-0.82961300000000004</v>
      </c>
      <c r="K106">
        <v>54.303711999999997</v>
      </c>
      <c r="P106" t="s">
        <v>693</v>
      </c>
      <c r="Q106" s="7">
        <v>45520.472222222219</v>
      </c>
      <c r="R106" t="s">
        <v>663</v>
      </c>
      <c r="U106" t="s">
        <v>886</v>
      </c>
      <c r="V106" t="s">
        <v>664</v>
      </c>
      <c r="W106" t="s">
        <v>887</v>
      </c>
      <c r="X106" t="s">
        <v>207</v>
      </c>
      <c r="Y106" t="s">
        <v>883</v>
      </c>
      <c r="Z106" t="s">
        <v>884</v>
      </c>
      <c r="AA106">
        <v>2000</v>
      </c>
      <c r="AB106" t="s">
        <v>239</v>
      </c>
      <c r="AC106">
        <v>10</v>
      </c>
      <c r="AD106" t="s">
        <v>254</v>
      </c>
      <c r="AE106" t="s">
        <v>885</v>
      </c>
      <c r="AP106">
        <v>0.45</v>
      </c>
      <c r="AS106" t="s">
        <v>267</v>
      </c>
      <c r="AT106" t="s">
        <v>888</v>
      </c>
      <c r="AY106">
        <v>-18</v>
      </c>
      <c r="BF106" t="s">
        <v>283</v>
      </c>
      <c r="BG106" t="s">
        <v>288</v>
      </c>
      <c r="BH106" t="s">
        <v>665</v>
      </c>
      <c r="BI106" t="s">
        <v>666</v>
      </c>
      <c r="BJ106" t="s">
        <v>665</v>
      </c>
      <c r="BK106" t="s">
        <v>207</v>
      </c>
      <c r="BQ106">
        <v>1</v>
      </c>
      <c r="BS106" t="s">
        <v>624</v>
      </c>
    </row>
    <row r="107" spans="1:71" x14ac:dyDescent="0.2">
      <c r="A107" t="s">
        <v>797</v>
      </c>
      <c r="B107" t="s">
        <v>211</v>
      </c>
      <c r="E107" t="str">
        <f>_xlfn.CONCAT(projectMetadata!$D$8,"_",sampleMetadata!A107)</f>
        <v>CROP_2024_0813</v>
      </c>
      <c r="F107" t="str">
        <f t="shared" si="5"/>
        <v>0813</v>
      </c>
      <c r="H107" t="s">
        <v>875</v>
      </c>
      <c r="J107">
        <v>-0.84197299999999997</v>
      </c>
      <c r="K107">
        <v>54.301808999999999</v>
      </c>
      <c r="P107" t="s">
        <v>693</v>
      </c>
      <c r="Q107" s="7">
        <v>45520.447916666664</v>
      </c>
      <c r="R107" t="s">
        <v>663</v>
      </c>
      <c r="U107" t="s">
        <v>886</v>
      </c>
      <c r="V107" t="s">
        <v>664</v>
      </c>
      <c r="W107" t="s">
        <v>887</v>
      </c>
      <c r="X107" t="s">
        <v>207</v>
      </c>
      <c r="Y107" t="s">
        <v>883</v>
      </c>
      <c r="Z107" t="s">
        <v>884</v>
      </c>
      <c r="AA107">
        <v>2000</v>
      </c>
      <c r="AB107" t="s">
        <v>239</v>
      </c>
      <c r="AC107">
        <v>10</v>
      </c>
      <c r="AD107" t="s">
        <v>254</v>
      </c>
      <c r="AE107" t="s">
        <v>885</v>
      </c>
      <c r="AP107">
        <v>0.45</v>
      </c>
      <c r="AS107" t="s">
        <v>267</v>
      </c>
      <c r="AT107" t="s">
        <v>888</v>
      </c>
      <c r="AY107">
        <v>-18</v>
      </c>
      <c r="BF107" t="s">
        <v>283</v>
      </c>
      <c r="BG107" t="s">
        <v>288</v>
      </c>
      <c r="BH107" t="s">
        <v>665</v>
      </c>
      <c r="BI107" t="s">
        <v>666</v>
      </c>
      <c r="BJ107" t="s">
        <v>665</v>
      </c>
      <c r="BK107" t="s">
        <v>207</v>
      </c>
      <c r="BQ107">
        <v>1</v>
      </c>
      <c r="BS107" t="s">
        <v>624</v>
      </c>
    </row>
    <row r="108" spans="1:71" x14ac:dyDescent="0.2">
      <c r="A108" t="s">
        <v>798</v>
      </c>
      <c r="B108" t="s">
        <v>211</v>
      </c>
      <c r="E108" t="str">
        <f>_xlfn.CONCAT(projectMetadata!$D$8,"_",sampleMetadata!A108)</f>
        <v>CROP_2024_0814</v>
      </c>
      <c r="F108" t="str">
        <f t="shared" si="5"/>
        <v>0814</v>
      </c>
      <c r="H108" t="s">
        <v>875</v>
      </c>
      <c r="J108">
        <v>-0.84570699999999999</v>
      </c>
      <c r="K108">
        <v>54.295704999999998</v>
      </c>
      <c r="P108" t="s">
        <v>693</v>
      </c>
      <c r="Q108" s="7">
        <v>45520.427083333336</v>
      </c>
      <c r="R108" t="s">
        <v>663</v>
      </c>
      <c r="U108" t="s">
        <v>886</v>
      </c>
      <c r="V108" t="s">
        <v>664</v>
      </c>
      <c r="W108" t="s">
        <v>887</v>
      </c>
      <c r="X108" t="s">
        <v>207</v>
      </c>
      <c r="Y108" t="s">
        <v>883</v>
      </c>
      <c r="Z108" t="s">
        <v>884</v>
      </c>
      <c r="AA108">
        <v>2000</v>
      </c>
      <c r="AB108" t="s">
        <v>239</v>
      </c>
      <c r="AC108">
        <v>10</v>
      </c>
      <c r="AD108" t="s">
        <v>254</v>
      </c>
      <c r="AE108" t="s">
        <v>885</v>
      </c>
      <c r="AP108">
        <v>0.45</v>
      </c>
      <c r="AS108" t="s">
        <v>267</v>
      </c>
      <c r="AT108" t="s">
        <v>888</v>
      </c>
      <c r="AY108">
        <v>-18</v>
      </c>
      <c r="BF108" t="s">
        <v>283</v>
      </c>
      <c r="BG108" t="s">
        <v>288</v>
      </c>
      <c r="BH108" t="s">
        <v>665</v>
      </c>
      <c r="BI108" t="s">
        <v>666</v>
      </c>
      <c r="BJ108" t="s">
        <v>665</v>
      </c>
      <c r="BK108" t="s">
        <v>207</v>
      </c>
      <c r="BQ108">
        <v>1</v>
      </c>
      <c r="BS108" t="s">
        <v>624</v>
      </c>
    </row>
    <row r="109" spans="1:71" x14ac:dyDescent="0.2">
      <c r="A109" t="s">
        <v>799</v>
      </c>
      <c r="B109" t="s">
        <v>212</v>
      </c>
      <c r="C109" t="s">
        <v>220</v>
      </c>
      <c r="E109" t="str">
        <f>_xlfn.CONCAT(projectMetadata!$D$8,"_",sampleMetadata!A109)</f>
        <v>CROP_2024_08EB</v>
      </c>
      <c r="F109" t="str">
        <f t="shared" si="5"/>
        <v>08EB</v>
      </c>
      <c r="Q109" s="7"/>
      <c r="X109" t="s">
        <v>207</v>
      </c>
      <c r="BF109" t="s">
        <v>283</v>
      </c>
      <c r="BG109" t="s">
        <v>288</v>
      </c>
      <c r="BH109" t="s">
        <v>665</v>
      </c>
      <c r="BI109" t="s">
        <v>666</v>
      </c>
      <c r="BJ109" t="s">
        <v>665</v>
      </c>
      <c r="BK109" t="s">
        <v>207</v>
      </c>
      <c r="BQ109">
        <v>1</v>
      </c>
      <c r="BS109" t="s">
        <v>624</v>
      </c>
    </row>
    <row r="110" spans="1:71" x14ac:dyDescent="0.2">
      <c r="A110" t="s">
        <v>800</v>
      </c>
      <c r="B110" t="s">
        <v>212</v>
      </c>
      <c r="C110" t="s">
        <v>218</v>
      </c>
      <c r="E110" t="str">
        <f>_xlfn.CONCAT(projectMetadata!$D$8,"_",sampleMetadata!A110)</f>
        <v>CROP_2024_08FB</v>
      </c>
      <c r="F110" t="str">
        <f t="shared" si="5"/>
        <v>08FB</v>
      </c>
      <c r="Q110" s="7"/>
      <c r="AP110">
        <v>0.45</v>
      </c>
      <c r="AS110" t="s">
        <v>267</v>
      </c>
      <c r="AT110" t="s">
        <v>888</v>
      </c>
      <c r="AY110">
        <v>-18</v>
      </c>
      <c r="BF110" t="s">
        <v>283</v>
      </c>
      <c r="BG110" t="s">
        <v>288</v>
      </c>
      <c r="BH110" t="s">
        <v>665</v>
      </c>
      <c r="BI110" t="s">
        <v>666</v>
      </c>
      <c r="BJ110" t="s">
        <v>665</v>
      </c>
      <c r="BK110" t="s">
        <v>207</v>
      </c>
      <c r="BQ110">
        <v>1</v>
      </c>
      <c r="BS110" t="s">
        <v>624</v>
      </c>
    </row>
    <row r="111" spans="1:71" x14ac:dyDescent="0.2">
      <c r="A111" t="s">
        <v>801</v>
      </c>
      <c r="B111" t="s">
        <v>211</v>
      </c>
      <c r="E111" t="str">
        <f>_xlfn.CONCAT(projectMetadata!$D$8,"_",sampleMetadata!A111)</f>
        <v>CROP_2024_0901</v>
      </c>
      <c r="F111" t="str">
        <f t="shared" si="5"/>
        <v>0901</v>
      </c>
      <c r="H111" t="s">
        <v>876</v>
      </c>
      <c r="J111">
        <v>-0.81100264290000001</v>
      </c>
      <c r="K111">
        <v>54.305806249900002</v>
      </c>
      <c r="P111" t="s">
        <v>693</v>
      </c>
      <c r="Q111" s="7">
        <v>45198.420138888891</v>
      </c>
      <c r="R111" t="s">
        <v>663</v>
      </c>
      <c r="U111" t="s">
        <v>886</v>
      </c>
      <c r="V111" t="s">
        <v>664</v>
      </c>
      <c r="W111" t="s">
        <v>887</v>
      </c>
      <c r="X111" t="s">
        <v>207</v>
      </c>
      <c r="Y111" t="s">
        <v>883</v>
      </c>
      <c r="Z111" t="s">
        <v>884</v>
      </c>
      <c r="AA111">
        <v>2000</v>
      </c>
      <c r="AB111" t="s">
        <v>239</v>
      </c>
      <c r="AC111">
        <v>10</v>
      </c>
      <c r="AD111" t="s">
        <v>254</v>
      </c>
      <c r="AE111" t="s">
        <v>885</v>
      </c>
      <c r="AP111">
        <v>0.45</v>
      </c>
      <c r="AS111" t="s">
        <v>267</v>
      </c>
      <c r="AT111" t="s">
        <v>888</v>
      </c>
      <c r="AY111">
        <v>-18</v>
      </c>
      <c r="BF111" t="s">
        <v>283</v>
      </c>
      <c r="BG111" t="s">
        <v>288</v>
      </c>
      <c r="BH111" t="s">
        <v>665</v>
      </c>
      <c r="BI111" t="s">
        <v>666</v>
      </c>
      <c r="BJ111" t="s">
        <v>665</v>
      </c>
      <c r="BK111" t="s">
        <v>207</v>
      </c>
      <c r="BQ111">
        <v>1</v>
      </c>
      <c r="BS111" t="s">
        <v>624</v>
      </c>
    </row>
    <row r="112" spans="1:71" x14ac:dyDescent="0.2">
      <c r="A112" t="s">
        <v>802</v>
      </c>
      <c r="B112" t="s">
        <v>211</v>
      </c>
      <c r="E112" t="str">
        <f>_xlfn.CONCAT(projectMetadata!$D$8,"_",sampleMetadata!A112)</f>
        <v>CROP_2024_0902</v>
      </c>
      <c r="F112" t="str">
        <f t="shared" si="5"/>
        <v>0902</v>
      </c>
      <c r="H112" t="s">
        <v>876</v>
      </c>
      <c r="J112">
        <v>-0.80960975670000002</v>
      </c>
      <c r="K112">
        <v>54.306324540200002</v>
      </c>
      <c r="P112" t="s">
        <v>693</v>
      </c>
      <c r="Q112" s="7">
        <v>45198.434027777781</v>
      </c>
      <c r="R112" t="s">
        <v>663</v>
      </c>
      <c r="U112" t="s">
        <v>886</v>
      </c>
      <c r="V112" t="s">
        <v>664</v>
      </c>
      <c r="W112" t="s">
        <v>887</v>
      </c>
      <c r="X112" t="s">
        <v>207</v>
      </c>
      <c r="Y112" t="s">
        <v>883</v>
      </c>
      <c r="Z112" t="s">
        <v>884</v>
      </c>
      <c r="AA112">
        <v>2000</v>
      </c>
      <c r="AB112" t="s">
        <v>239</v>
      </c>
      <c r="AC112">
        <v>10</v>
      </c>
      <c r="AD112" t="s">
        <v>254</v>
      </c>
      <c r="AE112" t="s">
        <v>885</v>
      </c>
      <c r="AP112">
        <v>0.45</v>
      </c>
      <c r="AS112" t="s">
        <v>267</v>
      </c>
      <c r="AT112" t="s">
        <v>888</v>
      </c>
      <c r="AY112">
        <v>-18</v>
      </c>
      <c r="BF112" t="s">
        <v>283</v>
      </c>
      <c r="BG112" t="s">
        <v>288</v>
      </c>
      <c r="BH112" t="s">
        <v>665</v>
      </c>
      <c r="BI112" t="s">
        <v>666</v>
      </c>
      <c r="BJ112" t="s">
        <v>665</v>
      </c>
      <c r="BK112" t="s">
        <v>207</v>
      </c>
      <c r="BQ112">
        <v>1</v>
      </c>
      <c r="BS112" t="s">
        <v>624</v>
      </c>
    </row>
    <row r="113" spans="1:71" x14ac:dyDescent="0.2">
      <c r="A113" t="s">
        <v>803</v>
      </c>
      <c r="B113" t="s">
        <v>211</v>
      </c>
      <c r="E113" t="str">
        <f>_xlfn.CONCAT(projectMetadata!$D$8,"_",sampleMetadata!A113)</f>
        <v>CROP_2024_0903</v>
      </c>
      <c r="F113" t="str">
        <f t="shared" si="5"/>
        <v>0903</v>
      </c>
      <c r="H113" t="s">
        <v>876</v>
      </c>
      <c r="J113">
        <v>-0.81187299260000001</v>
      </c>
      <c r="K113">
        <v>54.305987271100001</v>
      </c>
      <c r="P113" t="s">
        <v>693</v>
      </c>
      <c r="Q113" s="7">
        <v>45198.461805555555</v>
      </c>
      <c r="R113" t="s">
        <v>663</v>
      </c>
      <c r="U113" t="s">
        <v>886</v>
      </c>
      <c r="V113" t="s">
        <v>664</v>
      </c>
      <c r="W113" t="s">
        <v>887</v>
      </c>
      <c r="X113" t="s">
        <v>207</v>
      </c>
      <c r="Y113" t="s">
        <v>883</v>
      </c>
      <c r="Z113" t="s">
        <v>884</v>
      </c>
      <c r="AA113">
        <v>2000</v>
      </c>
      <c r="AB113" t="s">
        <v>239</v>
      </c>
      <c r="AC113">
        <v>10</v>
      </c>
      <c r="AD113" t="s">
        <v>254</v>
      </c>
      <c r="AE113" t="s">
        <v>885</v>
      </c>
      <c r="AP113">
        <v>0.45</v>
      </c>
      <c r="AS113" t="s">
        <v>267</v>
      </c>
      <c r="AT113" t="s">
        <v>888</v>
      </c>
      <c r="AY113">
        <v>-18</v>
      </c>
      <c r="BF113" t="s">
        <v>283</v>
      </c>
      <c r="BG113" t="s">
        <v>288</v>
      </c>
      <c r="BH113" t="s">
        <v>665</v>
      </c>
      <c r="BI113" t="s">
        <v>666</v>
      </c>
      <c r="BJ113" t="s">
        <v>665</v>
      </c>
      <c r="BK113" t="s">
        <v>207</v>
      </c>
      <c r="BQ113">
        <v>1</v>
      </c>
      <c r="BS113" t="s">
        <v>624</v>
      </c>
    </row>
    <row r="114" spans="1:71" x14ac:dyDescent="0.2">
      <c r="A114" t="s">
        <v>804</v>
      </c>
      <c r="B114" t="s">
        <v>211</v>
      </c>
      <c r="E114" t="str">
        <f>_xlfn.CONCAT(projectMetadata!$D$8,"_",sampleMetadata!A114)</f>
        <v>CROP_2024_0904</v>
      </c>
      <c r="F114" t="str">
        <f t="shared" si="5"/>
        <v>0904</v>
      </c>
      <c r="H114" t="s">
        <v>876</v>
      </c>
      <c r="J114">
        <v>-0.81155620490000002</v>
      </c>
      <c r="K114">
        <v>54.305646188399997</v>
      </c>
      <c r="P114" t="s">
        <v>693</v>
      </c>
      <c r="Q114" s="7">
        <v>45198.472222222219</v>
      </c>
      <c r="R114" t="s">
        <v>663</v>
      </c>
      <c r="U114" t="s">
        <v>886</v>
      </c>
      <c r="V114" t="s">
        <v>664</v>
      </c>
      <c r="W114" t="s">
        <v>887</v>
      </c>
      <c r="X114" t="s">
        <v>207</v>
      </c>
      <c r="Y114" t="s">
        <v>883</v>
      </c>
      <c r="Z114" t="s">
        <v>884</v>
      </c>
      <c r="AA114">
        <v>2000</v>
      </c>
      <c r="AB114" t="s">
        <v>239</v>
      </c>
      <c r="AC114">
        <v>10</v>
      </c>
      <c r="AD114" t="s">
        <v>254</v>
      </c>
      <c r="AE114" t="s">
        <v>885</v>
      </c>
      <c r="AP114">
        <v>0.45</v>
      </c>
      <c r="AS114" t="s">
        <v>267</v>
      </c>
      <c r="AT114" t="s">
        <v>888</v>
      </c>
      <c r="AY114">
        <v>-18</v>
      </c>
      <c r="BF114" t="s">
        <v>283</v>
      </c>
      <c r="BG114" t="s">
        <v>288</v>
      </c>
      <c r="BH114" t="s">
        <v>665</v>
      </c>
      <c r="BI114" t="s">
        <v>666</v>
      </c>
      <c r="BJ114" t="s">
        <v>665</v>
      </c>
      <c r="BK114" t="s">
        <v>207</v>
      </c>
      <c r="BQ114">
        <v>1</v>
      </c>
      <c r="BS114" t="s">
        <v>624</v>
      </c>
    </row>
    <row r="115" spans="1:71" x14ac:dyDescent="0.2">
      <c r="A115" t="s">
        <v>805</v>
      </c>
      <c r="B115" t="s">
        <v>211</v>
      </c>
      <c r="E115" t="str">
        <f>_xlfn.CONCAT(projectMetadata!$D$8,"_",sampleMetadata!A115)</f>
        <v>CROP_2024_0905</v>
      </c>
      <c r="F115" t="str">
        <f t="shared" si="5"/>
        <v>0905</v>
      </c>
      <c r="H115" t="s">
        <v>876</v>
      </c>
      <c r="J115">
        <v>-0.81322505560000002</v>
      </c>
      <c r="K115">
        <v>54.305209826999999</v>
      </c>
      <c r="P115" t="s">
        <v>693</v>
      </c>
      <c r="Q115" s="7">
        <v>45198.489583333336</v>
      </c>
      <c r="R115" t="s">
        <v>663</v>
      </c>
      <c r="U115" t="s">
        <v>886</v>
      </c>
      <c r="V115" t="s">
        <v>664</v>
      </c>
      <c r="W115" t="s">
        <v>887</v>
      </c>
      <c r="X115" t="s">
        <v>207</v>
      </c>
      <c r="Y115" t="s">
        <v>883</v>
      </c>
      <c r="Z115" t="s">
        <v>884</v>
      </c>
      <c r="AA115">
        <v>2000</v>
      </c>
      <c r="AB115" t="s">
        <v>239</v>
      </c>
      <c r="AC115">
        <v>10</v>
      </c>
      <c r="AD115" t="s">
        <v>254</v>
      </c>
      <c r="AE115" t="s">
        <v>885</v>
      </c>
      <c r="AP115">
        <v>0.45</v>
      </c>
      <c r="AS115" t="s">
        <v>267</v>
      </c>
      <c r="AT115" t="s">
        <v>888</v>
      </c>
      <c r="AY115">
        <v>-18</v>
      </c>
      <c r="BF115" t="s">
        <v>283</v>
      </c>
      <c r="BG115" t="s">
        <v>288</v>
      </c>
      <c r="BH115" t="s">
        <v>665</v>
      </c>
      <c r="BI115" t="s">
        <v>666</v>
      </c>
      <c r="BJ115" t="s">
        <v>665</v>
      </c>
      <c r="BK115" t="s">
        <v>207</v>
      </c>
      <c r="BQ115">
        <v>1</v>
      </c>
      <c r="BS115" t="s">
        <v>624</v>
      </c>
    </row>
    <row r="116" spans="1:71" x14ac:dyDescent="0.2">
      <c r="A116" t="s">
        <v>806</v>
      </c>
      <c r="B116" t="s">
        <v>211</v>
      </c>
      <c r="E116" t="str">
        <f>_xlfn.CONCAT(projectMetadata!$D$8,"_",sampleMetadata!A116)</f>
        <v>CROP_2024_0906</v>
      </c>
      <c r="F116" t="str">
        <f t="shared" si="5"/>
        <v>0906</v>
      </c>
      <c r="H116" t="s">
        <v>876</v>
      </c>
      <c r="J116">
        <v>-0.81573976209999999</v>
      </c>
      <c r="K116">
        <v>54.304996408400001</v>
      </c>
      <c r="P116" t="s">
        <v>693</v>
      </c>
      <c r="Q116" s="7">
        <v>45198.5</v>
      </c>
      <c r="R116" t="s">
        <v>663</v>
      </c>
      <c r="U116" t="s">
        <v>886</v>
      </c>
      <c r="V116" t="s">
        <v>664</v>
      </c>
      <c r="W116" t="s">
        <v>887</v>
      </c>
      <c r="X116" t="s">
        <v>207</v>
      </c>
      <c r="Y116" t="s">
        <v>883</v>
      </c>
      <c r="Z116" t="s">
        <v>884</v>
      </c>
      <c r="AA116">
        <v>2000</v>
      </c>
      <c r="AB116" t="s">
        <v>239</v>
      </c>
      <c r="AC116">
        <v>10</v>
      </c>
      <c r="AD116" t="s">
        <v>254</v>
      </c>
      <c r="AE116" t="s">
        <v>885</v>
      </c>
      <c r="AP116">
        <v>0.45</v>
      </c>
      <c r="AS116" t="s">
        <v>267</v>
      </c>
      <c r="AT116" t="s">
        <v>888</v>
      </c>
      <c r="AY116">
        <v>-18</v>
      </c>
      <c r="BF116" t="s">
        <v>283</v>
      </c>
      <c r="BG116" t="s">
        <v>288</v>
      </c>
      <c r="BH116" t="s">
        <v>665</v>
      </c>
      <c r="BI116" t="s">
        <v>666</v>
      </c>
      <c r="BJ116" t="s">
        <v>665</v>
      </c>
      <c r="BK116" t="s">
        <v>207</v>
      </c>
      <c r="BQ116">
        <v>1</v>
      </c>
      <c r="BS116" t="s">
        <v>624</v>
      </c>
    </row>
    <row r="117" spans="1:71" x14ac:dyDescent="0.2">
      <c r="A117" t="s">
        <v>807</v>
      </c>
      <c r="B117" t="s">
        <v>211</v>
      </c>
      <c r="E117" t="str">
        <f>_xlfn.CONCAT(projectMetadata!$D$8,"_",sampleMetadata!A117)</f>
        <v>CROP_2024_0907</v>
      </c>
      <c r="F117" t="str">
        <f t="shared" si="5"/>
        <v>0907</v>
      </c>
      <c r="H117" t="s">
        <v>876</v>
      </c>
      <c r="J117">
        <v>-0.81746413220000003</v>
      </c>
      <c r="K117">
        <v>54.304683900500002</v>
      </c>
      <c r="P117" t="s">
        <v>693</v>
      </c>
      <c r="Q117" s="7">
        <v>45198.520833333336</v>
      </c>
      <c r="R117" t="s">
        <v>663</v>
      </c>
      <c r="U117" t="s">
        <v>886</v>
      </c>
      <c r="V117" t="s">
        <v>664</v>
      </c>
      <c r="W117" t="s">
        <v>887</v>
      </c>
      <c r="X117" t="s">
        <v>207</v>
      </c>
      <c r="Y117" t="s">
        <v>883</v>
      </c>
      <c r="Z117" t="s">
        <v>884</v>
      </c>
      <c r="AA117">
        <v>2000</v>
      </c>
      <c r="AB117" t="s">
        <v>239</v>
      </c>
      <c r="AC117">
        <v>10</v>
      </c>
      <c r="AD117" t="s">
        <v>254</v>
      </c>
      <c r="AE117" t="s">
        <v>885</v>
      </c>
      <c r="AP117">
        <v>0.45</v>
      </c>
      <c r="AS117" t="s">
        <v>267</v>
      </c>
      <c r="AT117" t="s">
        <v>888</v>
      </c>
      <c r="AY117">
        <v>-18</v>
      </c>
      <c r="BF117" t="s">
        <v>283</v>
      </c>
      <c r="BG117" t="s">
        <v>288</v>
      </c>
      <c r="BH117" t="s">
        <v>665</v>
      </c>
      <c r="BI117" t="s">
        <v>666</v>
      </c>
      <c r="BJ117" t="s">
        <v>665</v>
      </c>
      <c r="BK117" t="s">
        <v>207</v>
      </c>
      <c r="BQ117">
        <v>1</v>
      </c>
      <c r="BS117" t="s">
        <v>624</v>
      </c>
    </row>
    <row r="118" spans="1:71" x14ac:dyDescent="0.2">
      <c r="A118" t="s">
        <v>808</v>
      </c>
      <c r="B118" t="s">
        <v>211</v>
      </c>
      <c r="E118" t="str">
        <f>_xlfn.CONCAT(projectMetadata!$D$8,"_",sampleMetadata!A118)</f>
        <v>CROP_2024_0908</v>
      </c>
      <c r="F118" t="str">
        <f t="shared" si="5"/>
        <v>0908</v>
      </c>
      <c r="H118" t="s">
        <v>876</v>
      </c>
      <c r="J118">
        <v>-0.81789849059999997</v>
      </c>
      <c r="K118">
        <v>54.3045943399</v>
      </c>
      <c r="P118" t="s">
        <v>693</v>
      </c>
      <c r="Q118" s="7">
        <v>45198.541666666664</v>
      </c>
      <c r="R118" t="s">
        <v>663</v>
      </c>
      <c r="U118" t="s">
        <v>886</v>
      </c>
      <c r="V118" t="s">
        <v>664</v>
      </c>
      <c r="W118" t="s">
        <v>887</v>
      </c>
      <c r="X118" t="s">
        <v>207</v>
      </c>
      <c r="Y118" t="s">
        <v>883</v>
      </c>
      <c r="Z118" t="s">
        <v>884</v>
      </c>
      <c r="AA118">
        <v>2000</v>
      </c>
      <c r="AB118" t="s">
        <v>239</v>
      </c>
      <c r="AC118">
        <v>10</v>
      </c>
      <c r="AD118" t="s">
        <v>254</v>
      </c>
      <c r="AE118" t="s">
        <v>885</v>
      </c>
      <c r="AP118">
        <v>0.45</v>
      </c>
      <c r="AS118" t="s">
        <v>267</v>
      </c>
      <c r="AT118" t="s">
        <v>888</v>
      </c>
      <c r="AY118">
        <v>-18</v>
      </c>
      <c r="BF118" t="s">
        <v>283</v>
      </c>
      <c r="BG118" t="s">
        <v>288</v>
      </c>
      <c r="BH118" t="s">
        <v>665</v>
      </c>
      <c r="BI118" t="s">
        <v>666</v>
      </c>
      <c r="BJ118" t="s">
        <v>665</v>
      </c>
      <c r="BK118" t="s">
        <v>207</v>
      </c>
      <c r="BQ118">
        <v>1</v>
      </c>
      <c r="BS118" t="s">
        <v>624</v>
      </c>
    </row>
    <row r="119" spans="1:71" x14ac:dyDescent="0.2">
      <c r="A119" t="s">
        <v>809</v>
      </c>
      <c r="B119" t="s">
        <v>211</v>
      </c>
      <c r="E119" t="str">
        <f>_xlfn.CONCAT(projectMetadata!$D$8,"_",sampleMetadata!A119)</f>
        <v>CROP_2024_0909</v>
      </c>
      <c r="F119" t="str">
        <f t="shared" si="5"/>
        <v>0909</v>
      </c>
      <c r="H119" t="s">
        <v>876</v>
      </c>
      <c r="J119">
        <v>-0.81844388800000001</v>
      </c>
      <c r="K119">
        <v>54.304359957000003</v>
      </c>
      <c r="P119" t="s">
        <v>693</v>
      </c>
      <c r="Q119" s="7">
        <v>45198.548611111109</v>
      </c>
      <c r="R119" t="s">
        <v>663</v>
      </c>
      <c r="U119" t="s">
        <v>886</v>
      </c>
      <c r="V119" t="s">
        <v>664</v>
      </c>
      <c r="W119" t="s">
        <v>887</v>
      </c>
      <c r="X119" t="s">
        <v>207</v>
      </c>
      <c r="Y119" t="s">
        <v>883</v>
      </c>
      <c r="Z119" t="s">
        <v>884</v>
      </c>
      <c r="AA119">
        <v>2000</v>
      </c>
      <c r="AB119" t="s">
        <v>239</v>
      </c>
      <c r="AC119">
        <v>10</v>
      </c>
      <c r="AD119" t="s">
        <v>254</v>
      </c>
      <c r="AE119" t="s">
        <v>885</v>
      </c>
      <c r="AP119">
        <v>0.45</v>
      </c>
      <c r="AS119" t="s">
        <v>267</v>
      </c>
      <c r="AT119" t="s">
        <v>888</v>
      </c>
      <c r="AY119">
        <v>-18</v>
      </c>
      <c r="BF119" t="s">
        <v>283</v>
      </c>
      <c r="BG119" t="s">
        <v>288</v>
      </c>
      <c r="BH119" t="s">
        <v>665</v>
      </c>
      <c r="BI119" t="s">
        <v>666</v>
      </c>
      <c r="BJ119" t="s">
        <v>665</v>
      </c>
      <c r="BK119" t="s">
        <v>207</v>
      </c>
      <c r="BQ119">
        <v>1</v>
      </c>
      <c r="BS119" t="s">
        <v>624</v>
      </c>
    </row>
    <row r="120" spans="1:71" x14ac:dyDescent="0.2">
      <c r="A120" t="s">
        <v>810</v>
      </c>
      <c r="B120" t="s">
        <v>211</v>
      </c>
      <c r="E120" t="str">
        <f>_xlfn.CONCAT(projectMetadata!$D$8,"_",sampleMetadata!A120)</f>
        <v>CROP_2024_0910</v>
      </c>
      <c r="F120" t="str">
        <f t="shared" si="5"/>
        <v>0910</v>
      </c>
      <c r="H120" t="s">
        <v>876</v>
      </c>
      <c r="J120">
        <v>-0.81895989270000003</v>
      </c>
      <c r="K120">
        <v>54.304236095500002</v>
      </c>
      <c r="P120" t="s">
        <v>693</v>
      </c>
      <c r="Q120" s="7">
        <v>45198.5625</v>
      </c>
      <c r="R120" t="s">
        <v>663</v>
      </c>
      <c r="U120" t="s">
        <v>886</v>
      </c>
      <c r="V120" t="s">
        <v>664</v>
      </c>
      <c r="W120" t="s">
        <v>887</v>
      </c>
      <c r="X120" t="s">
        <v>207</v>
      </c>
      <c r="Y120" t="s">
        <v>883</v>
      </c>
      <c r="Z120" t="s">
        <v>884</v>
      </c>
      <c r="AA120">
        <v>2000</v>
      </c>
      <c r="AB120" t="s">
        <v>239</v>
      </c>
      <c r="AC120">
        <v>10</v>
      </c>
      <c r="AD120" t="s">
        <v>254</v>
      </c>
      <c r="AE120" t="s">
        <v>885</v>
      </c>
      <c r="AP120">
        <v>0.45</v>
      </c>
      <c r="AS120" t="s">
        <v>267</v>
      </c>
      <c r="AT120" t="s">
        <v>888</v>
      </c>
      <c r="AY120">
        <v>-18</v>
      </c>
      <c r="BF120" t="s">
        <v>283</v>
      </c>
      <c r="BG120" t="s">
        <v>288</v>
      </c>
      <c r="BH120" t="s">
        <v>665</v>
      </c>
      <c r="BI120" t="s">
        <v>666</v>
      </c>
      <c r="BJ120" t="s">
        <v>665</v>
      </c>
      <c r="BK120" t="s">
        <v>207</v>
      </c>
      <c r="BQ120">
        <v>1</v>
      </c>
      <c r="BS120" t="s">
        <v>624</v>
      </c>
    </row>
    <row r="121" spans="1:71" x14ac:dyDescent="0.2">
      <c r="A121" t="s">
        <v>811</v>
      </c>
      <c r="B121" t="s">
        <v>212</v>
      </c>
      <c r="C121" t="s">
        <v>220</v>
      </c>
      <c r="E121" t="str">
        <f>_xlfn.CONCAT(projectMetadata!$D$8,"_",sampleMetadata!A121)</f>
        <v>CROP_2024_09EB</v>
      </c>
      <c r="F121" t="str">
        <f t="shared" si="5"/>
        <v>09EB</v>
      </c>
      <c r="Q121" s="7"/>
      <c r="BF121" t="s">
        <v>283</v>
      </c>
      <c r="BG121" t="s">
        <v>288</v>
      </c>
      <c r="BH121" t="s">
        <v>665</v>
      </c>
      <c r="BI121" t="s">
        <v>666</v>
      </c>
      <c r="BJ121" t="s">
        <v>665</v>
      </c>
      <c r="BK121" t="s">
        <v>207</v>
      </c>
      <c r="BQ121">
        <v>1</v>
      </c>
      <c r="BS121" t="s">
        <v>624</v>
      </c>
    </row>
    <row r="122" spans="1:71" x14ac:dyDescent="0.2">
      <c r="A122" t="s">
        <v>812</v>
      </c>
      <c r="B122" t="s">
        <v>212</v>
      </c>
      <c r="C122" t="s">
        <v>218</v>
      </c>
      <c r="E122" t="str">
        <f>_xlfn.CONCAT(projectMetadata!$D$8,"_",sampleMetadata!A122)</f>
        <v>CROP_2024_09FB</v>
      </c>
      <c r="F122" t="str">
        <f t="shared" si="5"/>
        <v>09FB</v>
      </c>
      <c r="Q122" s="7"/>
      <c r="AP122">
        <v>0.45</v>
      </c>
      <c r="AS122" t="s">
        <v>267</v>
      </c>
      <c r="AT122" t="s">
        <v>888</v>
      </c>
      <c r="AY122">
        <v>-18</v>
      </c>
      <c r="BF122" t="s">
        <v>283</v>
      </c>
      <c r="BG122" t="s">
        <v>288</v>
      </c>
      <c r="BH122" t="s">
        <v>665</v>
      </c>
      <c r="BI122" t="s">
        <v>666</v>
      </c>
      <c r="BJ122" t="s">
        <v>665</v>
      </c>
      <c r="BK122" t="s">
        <v>207</v>
      </c>
      <c r="BQ122">
        <v>1</v>
      </c>
      <c r="BS122" t="s">
        <v>624</v>
      </c>
    </row>
    <row r="123" spans="1:71" x14ac:dyDescent="0.2">
      <c r="A123" t="s">
        <v>813</v>
      </c>
      <c r="B123" t="s">
        <v>211</v>
      </c>
      <c r="E123" t="str">
        <f>_xlfn.CONCAT(projectMetadata!$D$8,"_",sampleMetadata!A123)</f>
        <v>CROP_2024_1001</v>
      </c>
      <c r="F123" t="str">
        <f t="shared" si="5"/>
        <v>1001</v>
      </c>
      <c r="H123" t="s">
        <v>877</v>
      </c>
      <c r="J123">
        <v>-0.81100264290000001</v>
      </c>
      <c r="K123">
        <v>54.305806249900002</v>
      </c>
      <c r="P123" t="s">
        <v>693</v>
      </c>
      <c r="Q123" s="7">
        <v>45225.583333333336</v>
      </c>
      <c r="R123" t="s">
        <v>663</v>
      </c>
      <c r="U123" t="s">
        <v>886</v>
      </c>
      <c r="V123" t="s">
        <v>664</v>
      </c>
      <c r="W123" t="s">
        <v>887</v>
      </c>
      <c r="X123" t="s">
        <v>207</v>
      </c>
      <c r="Y123" t="s">
        <v>883</v>
      </c>
      <c r="Z123" t="s">
        <v>884</v>
      </c>
      <c r="AA123">
        <v>2000</v>
      </c>
      <c r="AB123" t="s">
        <v>239</v>
      </c>
      <c r="AC123">
        <v>10</v>
      </c>
      <c r="AD123" t="s">
        <v>254</v>
      </c>
      <c r="AE123" t="s">
        <v>885</v>
      </c>
      <c r="AP123">
        <v>0.45</v>
      </c>
      <c r="AS123" t="s">
        <v>267</v>
      </c>
      <c r="AT123" t="s">
        <v>888</v>
      </c>
      <c r="AY123">
        <v>-18</v>
      </c>
      <c r="BF123" t="s">
        <v>283</v>
      </c>
      <c r="BG123" t="s">
        <v>288</v>
      </c>
      <c r="BH123" t="s">
        <v>665</v>
      </c>
      <c r="BI123" t="s">
        <v>666</v>
      </c>
      <c r="BJ123" t="s">
        <v>665</v>
      </c>
      <c r="BK123" t="s">
        <v>207</v>
      </c>
      <c r="BQ123">
        <v>1</v>
      </c>
      <c r="BS123" t="s">
        <v>624</v>
      </c>
    </row>
    <row r="124" spans="1:71" x14ac:dyDescent="0.2">
      <c r="A124" t="s">
        <v>814</v>
      </c>
      <c r="B124" t="s">
        <v>211</v>
      </c>
      <c r="E124" t="str">
        <f>_xlfn.CONCAT(projectMetadata!$D$8,"_",sampleMetadata!A124)</f>
        <v>CROP_2024_1002</v>
      </c>
      <c r="F124" t="str">
        <f t="shared" si="5"/>
        <v>1002</v>
      </c>
      <c r="H124" t="s">
        <v>877</v>
      </c>
      <c r="J124">
        <v>-0.80960975670000002</v>
      </c>
      <c r="K124">
        <v>54.306324540200002</v>
      </c>
      <c r="P124" t="s">
        <v>693</v>
      </c>
      <c r="Q124" s="7">
        <v>45225.572916666664</v>
      </c>
      <c r="R124" t="s">
        <v>663</v>
      </c>
      <c r="U124" t="s">
        <v>886</v>
      </c>
      <c r="V124" t="s">
        <v>664</v>
      </c>
      <c r="W124" t="s">
        <v>887</v>
      </c>
      <c r="X124" t="s">
        <v>207</v>
      </c>
      <c r="Y124" t="s">
        <v>883</v>
      </c>
      <c r="Z124" t="s">
        <v>884</v>
      </c>
      <c r="AA124">
        <v>2000</v>
      </c>
      <c r="AB124" t="s">
        <v>239</v>
      </c>
      <c r="AC124">
        <v>10</v>
      </c>
      <c r="AD124" t="s">
        <v>254</v>
      </c>
      <c r="AE124" t="s">
        <v>885</v>
      </c>
      <c r="AP124">
        <v>0.45</v>
      </c>
      <c r="AS124" t="s">
        <v>267</v>
      </c>
      <c r="AT124" t="s">
        <v>888</v>
      </c>
      <c r="AY124">
        <v>-18</v>
      </c>
      <c r="BF124" t="s">
        <v>283</v>
      </c>
      <c r="BG124" t="s">
        <v>288</v>
      </c>
      <c r="BH124" t="s">
        <v>665</v>
      </c>
      <c r="BI124" t="s">
        <v>666</v>
      </c>
      <c r="BJ124" t="s">
        <v>665</v>
      </c>
      <c r="BK124" t="s">
        <v>207</v>
      </c>
      <c r="BQ124">
        <v>1</v>
      </c>
      <c r="BS124" t="s">
        <v>624</v>
      </c>
    </row>
    <row r="125" spans="1:71" x14ac:dyDescent="0.2">
      <c r="A125" t="s">
        <v>815</v>
      </c>
      <c r="B125" t="s">
        <v>211</v>
      </c>
      <c r="E125" t="str">
        <f>_xlfn.CONCAT(projectMetadata!$D$8,"_",sampleMetadata!A125)</f>
        <v>CROP_2024_1003</v>
      </c>
      <c r="F125" t="str">
        <f t="shared" si="5"/>
        <v>1003</v>
      </c>
      <c r="H125" t="s">
        <v>877</v>
      </c>
      <c r="J125">
        <v>-0.81187299260000001</v>
      </c>
      <c r="K125">
        <v>54.305987271100001</v>
      </c>
      <c r="P125" t="s">
        <v>693</v>
      </c>
      <c r="Q125" s="7">
        <v>45225.555555555555</v>
      </c>
      <c r="R125" t="s">
        <v>663</v>
      </c>
      <c r="U125" t="s">
        <v>886</v>
      </c>
      <c r="V125" t="s">
        <v>664</v>
      </c>
      <c r="W125" t="s">
        <v>887</v>
      </c>
      <c r="X125" t="s">
        <v>207</v>
      </c>
      <c r="Y125" t="s">
        <v>883</v>
      </c>
      <c r="Z125" t="s">
        <v>884</v>
      </c>
      <c r="AA125">
        <v>2000</v>
      </c>
      <c r="AB125" t="s">
        <v>239</v>
      </c>
      <c r="AC125">
        <v>10</v>
      </c>
      <c r="AD125" t="s">
        <v>254</v>
      </c>
      <c r="AE125" t="s">
        <v>885</v>
      </c>
      <c r="AP125">
        <v>0.45</v>
      </c>
      <c r="AS125" t="s">
        <v>267</v>
      </c>
      <c r="AT125" t="s">
        <v>888</v>
      </c>
      <c r="AY125">
        <v>-18</v>
      </c>
      <c r="BF125" t="s">
        <v>283</v>
      </c>
      <c r="BG125" t="s">
        <v>288</v>
      </c>
      <c r="BH125" t="s">
        <v>665</v>
      </c>
      <c r="BI125" t="s">
        <v>666</v>
      </c>
      <c r="BJ125" t="s">
        <v>665</v>
      </c>
      <c r="BK125" t="s">
        <v>207</v>
      </c>
      <c r="BQ125">
        <v>1</v>
      </c>
      <c r="BS125" t="s">
        <v>624</v>
      </c>
    </row>
    <row r="126" spans="1:71" x14ac:dyDescent="0.2">
      <c r="A126" t="s">
        <v>816</v>
      </c>
      <c r="B126" t="s">
        <v>211</v>
      </c>
      <c r="E126" t="str">
        <f>_xlfn.CONCAT(projectMetadata!$D$8,"_",sampleMetadata!A126)</f>
        <v>CROP_2024_1004</v>
      </c>
      <c r="F126" t="str">
        <f t="shared" si="5"/>
        <v>1004</v>
      </c>
      <c r="H126" t="s">
        <v>877</v>
      </c>
      <c r="J126">
        <v>-0.81155620490000002</v>
      </c>
      <c r="K126">
        <v>54.305646188399997</v>
      </c>
      <c r="P126" t="s">
        <v>693</v>
      </c>
      <c r="Q126" s="7">
        <v>45225.548611111109</v>
      </c>
      <c r="R126" t="s">
        <v>663</v>
      </c>
      <c r="U126" t="s">
        <v>886</v>
      </c>
      <c r="V126" t="s">
        <v>664</v>
      </c>
      <c r="W126" t="s">
        <v>887</v>
      </c>
      <c r="X126" t="s">
        <v>207</v>
      </c>
      <c r="Y126" t="s">
        <v>883</v>
      </c>
      <c r="Z126" t="s">
        <v>884</v>
      </c>
      <c r="AA126">
        <v>2000</v>
      </c>
      <c r="AB126" t="s">
        <v>239</v>
      </c>
      <c r="AC126">
        <v>10</v>
      </c>
      <c r="AD126" t="s">
        <v>254</v>
      </c>
      <c r="AE126" t="s">
        <v>885</v>
      </c>
      <c r="AP126">
        <v>0.45</v>
      </c>
      <c r="AS126" t="s">
        <v>267</v>
      </c>
      <c r="AT126" t="s">
        <v>888</v>
      </c>
      <c r="AY126">
        <v>-18</v>
      </c>
      <c r="BF126" t="s">
        <v>283</v>
      </c>
      <c r="BG126" t="s">
        <v>288</v>
      </c>
      <c r="BH126" t="s">
        <v>665</v>
      </c>
      <c r="BI126" t="s">
        <v>666</v>
      </c>
      <c r="BJ126" t="s">
        <v>665</v>
      </c>
      <c r="BK126" t="s">
        <v>207</v>
      </c>
      <c r="BQ126">
        <v>1</v>
      </c>
      <c r="BS126" t="s">
        <v>624</v>
      </c>
    </row>
    <row r="127" spans="1:71" x14ac:dyDescent="0.2">
      <c r="A127" t="s">
        <v>817</v>
      </c>
      <c r="B127" t="s">
        <v>211</v>
      </c>
      <c r="E127" t="str">
        <f>_xlfn.CONCAT(projectMetadata!$D$8,"_",sampleMetadata!A127)</f>
        <v>CROP_2024_1005</v>
      </c>
      <c r="F127" t="str">
        <f t="shared" si="5"/>
        <v>1005</v>
      </c>
      <c r="H127" t="s">
        <v>877</v>
      </c>
      <c r="J127">
        <v>-0.81322505560000002</v>
      </c>
      <c r="K127">
        <v>54.305209826999999</v>
      </c>
      <c r="P127" t="s">
        <v>693</v>
      </c>
      <c r="Q127" s="7">
        <v>45225.534722222219</v>
      </c>
      <c r="R127" t="s">
        <v>663</v>
      </c>
      <c r="U127" t="s">
        <v>886</v>
      </c>
      <c r="V127" t="s">
        <v>664</v>
      </c>
      <c r="W127" t="s">
        <v>887</v>
      </c>
      <c r="X127" t="s">
        <v>207</v>
      </c>
      <c r="Y127" t="s">
        <v>883</v>
      </c>
      <c r="Z127" t="s">
        <v>884</v>
      </c>
      <c r="AA127">
        <v>2000</v>
      </c>
      <c r="AB127" t="s">
        <v>239</v>
      </c>
      <c r="AC127">
        <v>10</v>
      </c>
      <c r="AD127" t="s">
        <v>254</v>
      </c>
      <c r="AE127" t="s">
        <v>885</v>
      </c>
      <c r="AP127">
        <v>0.45</v>
      </c>
      <c r="AS127" t="s">
        <v>267</v>
      </c>
      <c r="AT127" t="s">
        <v>888</v>
      </c>
      <c r="AY127">
        <v>-18</v>
      </c>
      <c r="BF127" t="s">
        <v>283</v>
      </c>
      <c r="BG127" t="s">
        <v>288</v>
      </c>
      <c r="BH127" t="s">
        <v>665</v>
      </c>
      <c r="BI127" t="s">
        <v>666</v>
      </c>
      <c r="BJ127" t="s">
        <v>665</v>
      </c>
      <c r="BK127" t="s">
        <v>207</v>
      </c>
      <c r="BQ127">
        <v>1</v>
      </c>
      <c r="BS127" t="s">
        <v>624</v>
      </c>
    </row>
    <row r="128" spans="1:71" x14ac:dyDescent="0.2">
      <c r="A128" t="s">
        <v>818</v>
      </c>
      <c r="B128" t="s">
        <v>211</v>
      </c>
      <c r="E128" t="str">
        <f>_xlfn.CONCAT(projectMetadata!$D$8,"_",sampleMetadata!A128)</f>
        <v>CROP_2024_1006</v>
      </c>
      <c r="F128" t="str">
        <f t="shared" si="5"/>
        <v>1006</v>
      </c>
      <c r="H128" t="s">
        <v>877</v>
      </c>
      <c r="J128">
        <v>-0.81573976209999999</v>
      </c>
      <c r="K128">
        <v>54.304996408400001</v>
      </c>
      <c r="P128" t="s">
        <v>693</v>
      </c>
      <c r="Q128" s="7">
        <v>45225.520833333336</v>
      </c>
      <c r="R128" t="s">
        <v>663</v>
      </c>
      <c r="U128" t="s">
        <v>886</v>
      </c>
      <c r="V128" t="s">
        <v>664</v>
      </c>
      <c r="W128" t="s">
        <v>887</v>
      </c>
      <c r="X128" t="s">
        <v>207</v>
      </c>
      <c r="Y128" t="s">
        <v>883</v>
      </c>
      <c r="Z128" t="s">
        <v>884</v>
      </c>
      <c r="AA128">
        <v>2000</v>
      </c>
      <c r="AB128" t="s">
        <v>239</v>
      </c>
      <c r="AC128">
        <v>10</v>
      </c>
      <c r="AD128" t="s">
        <v>254</v>
      </c>
      <c r="AE128" t="s">
        <v>885</v>
      </c>
      <c r="AP128">
        <v>0.45</v>
      </c>
      <c r="AS128" t="s">
        <v>267</v>
      </c>
      <c r="AT128" t="s">
        <v>888</v>
      </c>
      <c r="AY128">
        <v>-18</v>
      </c>
      <c r="BF128" t="s">
        <v>283</v>
      </c>
      <c r="BG128" t="s">
        <v>288</v>
      </c>
      <c r="BH128" t="s">
        <v>665</v>
      </c>
      <c r="BI128" t="s">
        <v>666</v>
      </c>
      <c r="BJ128" t="s">
        <v>665</v>
      </c>
      <c r="BK128" t="s">
        <v>207</v>
      </c>
      <c r="BQ128">
        <v>1</v>
      </c>
      <c r="BS128" t="s">
        <v>624</v>
      </c>
    </row>
    <row r="129" spans="1:71" x14ac:dyDescent="0.2">
      <c r="A129" t="s">
        <v>819</v>
      </c>
      <c r="B129" t="s">
        <v>211</v>
      </c>
      <c r="E129" t="str">
        <f>_xlfn.CONCAT(projectMetadata!$D$8,"_",sampleMetadata!A129)</f>
        <v>CROP_2024_1007</v>
      </c>
      <c r="F129" t="str">
        <f t="shared" si="5"/>
        <v>1007</v>
      </c>
      <c r="H129" t="s">
        <v>877</v>
      </c>
      <c r="J129">
        <v>-0.81746413220000003</v>
      </c>
      <c r="K129">
        <v>54.304683900500002</v>
      </c>
      <c r="P129" t="s">
        <v>693</v>
      </c>
      <c r="Q129" s="7">
        <v>45225.513888888891</v>
      </c>
      <c r="R129" t="s">
        <v>663</v>
      </c>
      <c r="U129" t="s">
        <v>886</v>
      </c>
      <c r="V129" t="s">
        <v>664</v>
      </c>
      <c r="W129" t="s">
        <v>887</v>
      </c>
      <c r="X129" t="s">
        <v>207</v>
      </c>
      <c r="Y129" t="s">
        <v>883</v>
      </c>
      <c r="Z129" t="s">
        <v>884</v>
      </c>
      <c r="AA129">
        <v>2000</v>
      </c>
      <c r="AB129" t="s">
        <v>239</v>
      </c>
      <c r="AC129">
        <v>10</v>
      </c>
      <c r="AD129" t="s">
        <v>254</v>
      </c>
      <c r="AE129" t="s">
        <v>885</v>
      </c>
      <c r="AP129">
        <v>0.45</v>
      </c>
      <c r="AS129" t="s">
        <v>267</v>
      </c>
      <c r="AT129" t="s">
        <v>888</v>
      </c>
      <c r="AY129">
        <v>-18</v>
      </c>
      <c r="BF129" t="s">
        <v>283</v>
      </c>
      <c r="BG129" t="s">
        <v>288</v>
      </c>
      <c r="BH129" t="s">
        <v>665</v>
      </c>
      <c r="BI129" t="s">
        <v>666</v>
      </c>
      <c r="BJ129" t="s">
        <v>665</v>
      </c>
      <c r="BK129" t="s">
        <v>207</v>
      </c>
      <c r="BQ129">
        <v>1</v>
      </c>
      <c r="BS129" t="s">
        <v>624</v>
      </c>
    </row>
    <row r="130" spans="1:71" x14ac:dyDescent="0.2">
      <c r="A130" t="s">
        <v>820</v>
      </c>
      <c r="B130" t="s">
        <v>211</v>
      </c>
      <c r="E130" t="str">
        <f>_xlfn.CONCAT(projectMetadata!$D$8,"_",sampleMetadata!A130)</f>
        <v>CROP_2024_1008</v>
      </c>
      <c r="F130" t="str">
        <f t="shared" si="5"/>
        <v>1008</v>
      </c>
      <c r="H130" t="s">
        <v>877</v>
      </c>
      <c r="J130">
        <v>-0.81789849059999997</v>
      </c>
      <c r="K130">
        <v>54.3045943399</v>
      </c>
      <c r="P130" t="s">
        <v>693</v>
      </c>
      <c r="Q130" s="7">
        <v>45225.503472222219</v>
      </c>
      <c r="R130" t="s">
        <v>663</v>
      </c>
      <c r="U130" t="s">
        <v>886</v>
      </c>
      <c r="V130" t="s">
        <v>664</v>
      </c>
      <c r="W130" t="s">
        <v>887</v>
      </c>
      <c r="X130" t="s">
        <v>207</v>
      </c>
      <c r="Y130" t="s">
        <v>883</v>
      </c>
      <c r="Z130" t="s">
        <v>884</v>
      </c>
      <c r="AA130">
        <v>2000</v>
      </c>
      <c r="AB130" t="s">
        <v>239</v>
      </c>
      <c r="AC130">
        <v>10</v>
      </c>
      <c r="AD130" t="s">
        <v>254</v>
      </c>
      <c r="AE130" t="s">
        <v>885</v>
      </c>
      <c r="AP130">
        <v>0.45</v>
      </c>
      <c r="AS130" t="s">
        <v>267</v>
      </c>
      <c r="AT130" t="s">
        <v>888</v>
      </c>
      <c r="AY130">
        <v>-18</v>
      </c>
      <c r="BF130" t="s">
        <v>283</v>
      </c>
      <c r="BG130" t="s">
        <v>288</v>
      </c>
      <c r="BH130" t="s">
        <v>665</v>
      </c>
      <c r="BI130" t="s">
        <v>666</v>
      </c>
      <c r="BJ130" t="s">
        <v>665</v>
      </c>
      <c r="BK130" t="s">
        <v>207</v>
      </c>
      <c r="BQ130">
        <v>1</v>
      </c>
      <c r="BS130" t="s">
        <v>624</v>
      </c>
    </row>
    <row r="131" spans="1:71" x14ac:dyDescent="0.2">
      <c r="A131" t="s">
        <v>821</v>
      </c>
      <c r="B131" t="s">
        <v>211</v>
      </c>
      <c r="E131" t="str">
        <f>_xlfn.CONCAT(projectMetadata!$D$8,"_",sampleMetadata!A131)</f>
        <v>CROP_2024_1009</v>
      </c>
      <c r="F131" t="str">
        <f t="shared" si="5"/>
        <v>1009</v>
      </c>
      <c r="H131" t="s">
        <v>877</v>
      </c>
      <c r="J131">
        <v>-0.81844388800000001</v>
      </c>
      <c r="K131">
        <v>54.304359957000003</v>
      </c>
      <c r="P131" t="s">
        <v>693</v>
      </c>
      <c r="Q131" s="7">
        <v>45225.493055555555</v>
      </c>
      <c r="R131" t="s">
        <v>663</v>
      </c>
      <c r="U131" t="s">
        <v>886</v>
      </c>
      <c r="V131" t="s">
        <v>664</v>
      </c>
      <c r="W131" t="s">
        <v>887</v>
      </c>
      <c r="X131" t="s">
        <v>207</v>
      </c>
      <c r="Y131" t="s">
        <v>883</v>
      </c>
      <c r="Z131" t="s">
        <v>884</v>
      </c>
      <c r="AA131">
        <v>2000</v>
      </c>
      <c r="AB131" t="s">
        <v>239</v>
      </c>
      <c r="AC131">
        <v>10</v>
      </c>
      <c r="AD131" t="s">
        <v>254</v>
      </c>
      <c r="AE131" t="s">
        <v>885</v>
      </c>
      <c r="AP131">
        <v>0.45</v>
      </c>
      <c r="AS131" t="s">
        <v>267</v>
      </c>
      <c r="AT131" t="s">
        <v>888</v>
      </c>
      <c r="AY131">
        <v>-18</v>
      </c>
      <c r="BF131" t="s">
        <v>283</v>
      </c>
      <c r="BG131" t="s">
        <v>288</v>
      </c>
      <c r="BH131" t="s">
        <v>665</v>
      </c>
      <c r="BI131" t="s">
        <v>666</v>
      </c>
      <c r="BJ131" t="s">
        <v>665</v>
      </c>
      <c r="BK131" t="s">
        <v>207</v>
      </c>
      <c r="BQ131">
        <v>1</v>
      </c>
      <c r="BS131" t="s">
        <v>624</v>
      </c>
    </row>
    <row r="132" spans="1:71" x14ac:dyDescent="0.2">
      <c r="A132" t="s">
        <v>822</v>
      </c>
      <c r="B132" t="s">
        <v>211</v>
      </c>
      <c r="E132" t="str">
        <f>_xlfn.CONCAT(projectMetadata!$D$8,"_",sampleMetadata!A132)</f>
        <v>CROP_2024_1010</v>
      </c>
      <c r="F132" t="str">
        <f t="shared" ref="F132:F163" si="6">LEFT(A132,9)</f>
        <v>1010</v>
      </c>
      <c r="H132" t="s">
        <v>877</v>
      </c>
      <c r="J132">
        <v>-0.81895989270000003</v>
      </c>
      <c r="K132">
        <v>54.304236095500002</v>
      </c>
      <c r="P132" t="s">
        <v>693</v>
      </c>
      <c r="Q132" s="7">
        <v>45225.486111111109</v>
      </c>
      <c r="R132" t="s">
        <v>663</v>
      </c>
      <c r="U132" t="s">
        <v>886</v>
      </c>
      <c r="V132" t="s">
        <v>664</v>
      </c>
      <c r="W132" t="s">
        <v>887</v>
      </c>
      <c r="X132" t="s">
        <v>207</v>
      </c>
      <c r="Y132" t="s">
        <v>883</v>
      </c>
      <c r="Z132" t="s">
        <v>884</v>
      </c>
      <c r="AA132">
        <v>2000</v>
      </c>
      <c r="AB132" t="s">
        <v>239</v>
      </c>
      <c r="AC132">
        <v>10</v>
      </c>
      <c r="AD132" t="s">
        <v>254</v>
      </c>
      <c r="AE132" t="s">
        <v>885</v>
      </c>
      <c r="AP132">
        <v>0.45</v>
      </c>
      <c r="AS132" t="s">
        <v>267</v>
      </c>
      <c r="AT132" t="s">
        <v>888</v>
      </c>
      <c r="AY132">
        <v>-18</v>
      </c>
      <c r="BF132" t="s">
        <v>283</v>
      </c>
      <c r="BG132" t="s">
        <v>288</v>
      </c>
      <c r="BH132" t="s">
        <v>665</v>
      </c>
      <c r="BI132" t="s">
        <v>666</v>
      </c>
      <c r="BJ132" t="s">
        <v>665</v>
      </c>
      <c r="BK132" t="s">
        <v>207</v>
      </c>
      <c r="BQ132">
        <v>1</v>
      </c>
      <c r="BS132" t="s">
        <v>624</v>
      </c>
    </row>
    <row r="133" spans="1:71" x14ac:dyDescent="0.2">
      <c r="A133" t="s">
        <v>823</v>
      </c>
      <c r="B133" t="s">
        <v>212</v>
      </c>
      <c r="C133" t="s">
        <v>220</v>
      </c>
      <c r="E133" t="str">
        <f>_xlfn.CONCAT(projectMetadata!$D$8,"_",sampleMetadata!A133)</f>
        <v>CROP_2024_10EB</v>
      </c>
      <c r="F133" t="str">
        <f t="shared" si="6"/>
        <v>10EB</v>
      </c>
      <c r="Q133" s="7"/>
      <c r="BF133" t="s">
        <v>283</v>
      </c>
      <c r="BG133" t="s">
        <v>288</v>
      </c>
      <c r="BH133" t="s">
        <v>665</v>
      </c>
      <c r="BI133" t="s">
        <v>666</v>
      </c>
      <c r="BJ133" t="s">
        <v>665</v>
      </c>
      <c r="BK133" t="s">
        <v>207</v>
      </c>
      <c r="BQ133">
        <v>1</v>
      </c>
      <c r="BS133" t="s">
        <v>624</v>
      </c>
    </row>
    <row r="134" spans="1:71" x14ac:dyDescent="0.2">
      <c r="A134" t="s">
        <v>824</v>
      </c>
      <c r="B134" t="s">
        <v>212</v>
      </c>
      <c r="C134" t="s">
        <v>218</v>
      </c>
      <c r="E134" t="str">
        <f>_xlfn.CONCAT(projectMetadata!$D$8,"_",sampleMetadata!A134)</f>
        <v>CROP_2024_10FB</v>
      </c>
      <c r="F134" t="str">
        <f t="shared" si="6"/>
        <v>10FB</v>
      </c>
      <c r="Q134" s="7"/>
      <c r="AP134">
        <v>0.45</v>
      </c>
      <c r="AS134" t="s">
        <v>267</v>
      </c>
      <c r="AT134" t="s">
        <v>888</v>
      </c>
      <c r="AY134">
        <v>-18</v>
      </c>
      <c r="BF134" t="s">
        <v>283</v>
      </c>
      <c r="BG134" t="s">
        <v>288</v>
      </c>
      <c r="BH134" t="s">
        <v>665</v>
      </c>
      <c r="BI134" t="s">
        <v>666</v>
      </c>
      <c r="BJ134" t="s">
        <v>665</v>
      </c>
      <c r="BK134" t="s">
        <v>207</v>
      </c>
      <c r="BQ134">
        <v>1</v>
      </c>
      <c r="BS134" t="s">
        <v>624</v>
      </c>
    </row>
    <row r="135" spans="1:71" x14ac:dyDescent="0.2">
      <c r="A135" t="s">
        <v>825</v>
      </c>
      <c r="B135" t="s">
        <v>211</v>
      </c>
      <c r="E135" t="str">
        <f>_xlfn.CONCAT(projectMetadata!$D$8,"_",sampleMetadata!A135)</f>
        <v>CROP_2024_1101</v>
      </c>
      <c r="F135" t="str">
        <f t="shared" si="6"/>
        <v>1101</v>
      </c>
      <c r="H135" t="s">
        <v>878</v>
      </c>
      <c r="J135">
        <v>-0.81100264290000001</v>
      </c>
      <c r="K135">
        <v>54.305806249900002</v>
      </c>
      <c r="P135" t="s">
        <v>693</v>
      </c>
      <c r="Q135" s="7">
        <v>45254.621527777781</v>
      </c>
      <c r="R135" t="s">
        <v>663</v>
      </c>
      <c r="U135" t="s">
        <v>886</v>
      </c>
      <c r="V135" t="s">
        <v>664</v>
      </c>
      <c r="W135" t="s">
        <v>887</v>
      </c>
      <c r="X135" t="s">
        <v>207</v>
      </c>
      <c r="Y135" t="s">
        <v>883</v>
      </c>
      <c r="Z135" t="s">
        <v>884</v>
      </c>
      <c r="AA135">
        <v>2000</v>
      </c>
      <c r="AB135" t="s">
        <v>239</v>
      </c>
      <c r="AC135">
        <v>10</v>
      </c>
      <c r="AD135" t="s">
        <v>254</v>
      </c>
      <c r="AE135" t="s">
        <v>885</v>
      </c>
      <c r="AP135">
        <v>0.45</v>
      </c>
      <c r="AS135" t="s">
        <v>267</v>
      </c>
      <c r="AT135" t="s">
        <v>888</v>
      </c>
      <c r="AY135">
        <v>-18</v>
      </c>
      <c r="BF135" t="s">
        <v>283</v>
      </c>
      <c r="BG135" t="s">
        <v>288</v>
      </c>
      <c r="BH135" t="s">
        <v>665</v>
      </c>
      <c r="BI135" t="s">
        <v>666</v>
      </c>
      <c r="BJ135" t="s">
        <v>665</v>
      </c>
      <c r="BK135" t="s">
        <v>207</v>
      </c>
      <c r="BQ135">
        <v>1</v>
      </c>
      <c r="BS135" t="s">
        <v>624</v>
      </c>
    </row>
    <row r="136" spans="1:71" x14ac:dyDescent="0.2">
      <c r="A136" t="s">
        <v>826</v>
      </c>
      <c r="B136" t="s">
        <v>211</v>
      </c>
      <c r="E136" t="str">
        <f>_xlfn.CONCAT(projectMetadata!$D$8,"_",sampleMetadata!A136)</f>
        <v>CROP_2024_1102</v>
      </c>
      <c r="F136" t="str">
        <f t="shared" si="6"/>
        <v>1102</v>
      </c>
      <c r="H136" t="s">
        <v>878</v>
      </c>
      <c r="J136">
        <v>-0.80960975670000002</v>
      </c>
      <c r="K136">
        <v>54.306324540200002</v>
      </c>
      <c r="P136" t="s">
        <v>693</v>
      </c>
      <c r="Q136" s="7">
        <v>45254.618055555555</v>
      </c>
      <c r="R136" t="s">
        <v>663</v>
      </c>
      <c r="U136" t="s">
        <v>886</v>
      </c>
      <c r="V136" t="s">
        <v>664</v>
      </c>
      <c r="W136" t="s">
        <v>887</v>
      </c>
      <c r="X136" t="s">
        <v>207</v>
      </c>
      <c r="Y136" t="s">
        <v>883</v>
      </c>
      <c r="Z136" t="s">
        <v>884</v>
      </c>
      <c r="AA136">
        <v>2000</v>
      </c>
      <c r="AB136" t="s">
        <v>239</v>
      </c>
      <c r="AC136">
        <v>10</v>
      </c>
      <c r="AD136" t="s">
        <v>254</v>
      </c>
      <c r="AE136" t="s">
        <v>885</v>
      </c>
      <c r="AP136">
        <v>0.45</v>
      </c>
      <c r="AS136" t="s">
        <v>267</v>
      </c>
      <c r="AT136" t="s">
        <v>888</v>
      </c>
      <c r="AY136">
        <v>-18</v>
      </c>
      <c r="BF136" t="s">
        <v>283</v>
      </c>
      <c r="BG136" t="s">
        <v>288</v>
      </c>
      <c r="BH136" t="s">
        <v>665</v>
      </c>
      <c r="BI136" t="s">
        <v>666</v>
      </c>
      <c r="BJ136" t="s">
        <v>665</v>
      </c>
      <c r="BK136" t="s">
        <v>207</v>
      </c>
      <c r="BQ136">
        <v>1</v>
      </c>
      <c r="BS136" t="s">
        <v>624</v>
      </c>
    </row>
    <row r="137" spans="1:71" x14ac:dyDescent="0.2">
      <c r="A137" t="s">
        <v>827</v>
      </c>
      <c r="B137" t="s">
        <v>211</v>
      </c>
      <c r="E137" t="str">
        <f>_xlfn.CONCAT(projectMetadata!$D$8,"_",sampleMetadata!A137)</f>
        <v>CROP_2024_1103</v>
      </c>
      <c r="F137" t="str">
        <f t="shared" si="6"/>
        <v>1103</v>
      </c>
      <c r="H137" t="s">
        <v>878</v>
      </c>
      <c r="J137">
        <v>-0.81187299260000001</v>
      </c>
      <c r="K137">
        <v>54.305987271100001</v>
      </c>
      <c r="P137" t="s">
        <v>693</v>
      </c>
      <c r="Q137" s="7">
        <v>45254.597222222219</v>
      </c>
      <c r="R137" t="s">
        <v>663</v>
      </c>
      <c r="U137" t="s">
        <v>886</v>
      </c>
      <c r="V137" t="s">
        <v>664</v>
      </c>
      <c r="W137" t="s">
        <v>887</v>
      </c>
      <c r="X137" t="s">
        <v>207</v>
      </c>
      <c r="Y137" t="s">
        <v>883</v>
      </c>
      <c r="Z137" t="s">
        <v>884</v>
      </c>
      <c r="AA137">
        <v>2000</v>
      </c>
      <c r="AB137" t="s">
        <v>239</v>
      </c>
      <c r="AC137">
        <v>10</v>
      </c>
      <c r="AD137" t="s">
        <v>254</v>
      </c>
      <c r="AE137" t="s">
        <v>885</v>
      </c>
      <c r="AP137">
        <v>0.45</v>
      </c>
      <c r="AS137" t="s">
        <v>267</v>
      </c>
      <c r="AT137" t="s">
        <v>888</v>
      </c>
      <c r="AY137">
        <v>-18</v>
      </c>
      <c r="BF137" t="s">
        <v>283</v>
      </c>
      <c r="BG137" t="s">
        <v>288</v>
      </c>
      <c r="BH137" t="s">
        <v>665</v>
      </c>
      <c r="BI137" t="s">
        <v>666</v>
      </c>
      <c r="BJ137" t="s">
        <v>665</v>
      </c>
      <c r="BK137" t="s">
        <v>207</v>
      </c>
      <c r="BQ137">
        <v>1</v>
      </c>
      <c r="BS137" t="s">
        <v>624</v>
      </c>
    </row>
    <row r="138" spans="1:71" x14ac:dyDescent="0.2">
      <c r="A138" t="s">
        <v>828</v>
      </c>
      <c r="B138" t="s">
        <v>211</v>
      </c>
      <c r="E138" t="str">
        <f>_xlfn.CONCAT(projectMetadata!$D$8,"_",sampleMetadata!A138)</f>
        <v>CROP_2024_1104</v>
      </c>
      <c r="F138" t="str">
        <f t="shared" si="6"/>
        <v>1104</v>
      </c>
      <c r="H138" t="s">
        <v>878</v>
      </c>
      <c r="J138">
        <v>-0.81155620490000002</v>
      </c>
      <c r="K138">
        <v>54.305646188399997</v>
      </c>
      <c r="P138" t="s">
        <v>693</v>
      </c>
      <c r="Q138" s="7">
        <v>45254.590277777781</v>
      </c>
      <c r="R138" t="s">
        <v>663</v>
      </c>
      <c r="U138" t="s">
        <v>886</v>
      </c>
      <c r="V138" t="s">
        <v>664</v>
      </c>
      <c r="W138" t="s">
        <v>887</v>
      </c>
      <c r="X138" t="s">
        <v>207</v>
      </c>
      <c r="Y138" t="s">
        <v>883</v>
      </c>
      <c r="Z138" t="s">
        <v>884</v>
      </c>
      <c r="AA138">
        <v>2000</v>
      </c>
      <c r="AB138" t="s">
        <v>239</v>
      </c>
      <c r="AC138">
        <v>10</v>
      </c>
      <c r="AD138" t="s">
        <v>254</v>
      </c>
      <c r="AE138" t="s">
        <v>885</v>
      </c>
      <c r="AP138">
        <v>0.45</v>
      </c>
      <c r="AS138" t="s">
        <v>267</v>
      </c>
      <c r="AT138" t="s">
        <v>888</v>
      </c>
      <c r="AY138">
        <v>-18</v>
      </c>
      <c r="BF138" t="s">
        <v>283</v>
      </c>
      <c r="BG138" t="s">
        <v>288</v>
      </c>
      <c r="BH138" t="s">
        <v>665</v>
      </c>
      <c r="BI138" t="s">
        <v>666</v>
      </c>
      <c r="BJ138" t="s">
        <v>665</v>
      </c>
      <c r="BK138" t="s">
        <v>207</v>
      </c>
      <c r="BQ138">
        <v>1</v>
      </c>
      <c r="BS138" t="s">
        <v>624</v>
      </c>
    </row>
    <row r="139" spans="1:71" x14ac:dyDescent="0.2">
      <c r="A139" t="s">
        <v>829</v>
      </c>
      <c r="B139" t="s">
        <v>211</v>
      </c>
      <c r="E139" t="str">
        <f>_xlfn.CONCAT(projectMetadata!$D$8,"_",sampleMetadata!A139)</f>
        <v>CROP_2024_1105</v>
      </c>
      <c r="F139" t="str">
        <f t="shared" si="6"/>
        <v>1105</v>
      </c>
      <c r="H139" t="s">
        <v>878</v>
      </c>
      <c r="J139">
        <v>-0.81322505560000002</v>
      </c>
      <c r="K139">
        <v>54.305209826999999</v>
      </c>
      <c r="P139" t="s">
        <v>693</v>
      </c>
      <c r="Q139" s="7">
        <v>45254.569444444445</v>
      </c>
      <c r="R139" t="s">
        <v>663</v>
      </c>
      <c r="U139" t="s">
        <v>886</v>
      </c>
      <c r="V139" t="s">
        <v>664</v>
      </c>
      <c r="W139" t="s">
        <v>887</v>
      </c>
      <c r="X139" t="s">
        <v>207</v>
      </c>
      <c r="Y139" t="s">
        <v>883</v>
      </c>
      <c r="Z139" t="s">
        <v>884</v>
      </c>
      <c r="AA139">
        <v>2000</v>
      </c>
      <c r="AB139" t="s">
        <v>239</v>
      </c>
      <c r="AC139">
        <v>10</v>
      </c>
      <c r="AD139" t="s">
        <v>254</v>
      </c>
      <c r="AE139" t="s">
        <v>885</v>
      </c>
      <c r="AP139">
        <v>0.45</v>
      </c>
      <c r="AS139" t="s">
        <v>267</v>
      </c>
      <c r="AT139" t="s">
        <v>888</v>
      </c>
      <c r="AY139">
        <v>-18</v>
      </c>
      <c r="BF139" t="s">
        <v>283</v>
      </c>
      <c r="BG139" t="s">
        <v>288</v>
      </c>
      <c r="BH139" t="s">
        <v>665</v>
      </c>
      <c r="BI139" t="s">
        <v>666</v>
      </c>
      <c r="BJ139" t="s">
        <v>665</v>
      </c>
      <c r="BK139" t="s">
        <v>207</v>
      </c>
      <c r="BQ139">
        <v>1</v>
      </c>
      <c r="BS139" t="s">
        <v>624</v>
      </c>
    </row>
    <row r="140" spans="1:71" x14ac:dyDescent="0.2">
      <c r="A140" t="s">
        <v>830</v>
      </c>
      <c r="B140" t="s">
        <v>211</v>
      </c>
      <c r="E140" t="str">
        <f>_xlfn.CONCAT(projectMetadata!$D$8,"_",sampleMetadata!A140)</f>
        <v>CROP_2024_1106</v>
      </c>
      <c r="F140" t="str">
        <f t="shared" si="6"/>
        <v>1106</v>
      </c>
      <c r="H140" t="s">
        <v>878</v>
      </c>
      <c r="J140">
        <v>-0.81573976209999999</v>
      </c>
      <c r="K140">
        <v>54.304996408400001</v>
      </c>
      <c r="P140" t="s">
        <v>693</v>
      </c>
      <c r="Q140" s="7">
        <v>45254.5625</v>
      </c>
      <c r="R140" t="s">
        <v>663</v>
      </c>
      <c r="U140" t="s">
        <v>886</v>
      </c>
      <c r="V140" t="s">
        <v>664</v>
      </c>
      <c r="W140" t="s">
        <v>887</v>
      </c>
      <c r="X140" t="s">
        <v>207</v>
      </c>
      <c r="Y140" t="s">
        <v>883</v>
      </c>
      <c r="Z140" t="s">
        <v>884</v>
      </c>
      <c r="AA140">
        <v>2000</v>
      </c>
      <c r="AB140" t="s">
        <v>239</v>
      </c>
      <c r="AC140">
        <v>10</v>
      </c>
      <c r="AD140" t="s">
        <v>254</v>
      </c>
      <c r="AE140" t="s">
        <v>885</v>
      </c>
      <c r="AP140">
        <v>0.45</v>
      </c>
      <c r="AS140" t="s">
        <v>267</v>
      </c>
      <c r="AT140" t="s">
        <v>888</v>
      </c>
      <c r="AY140">
        <v>-18</v>
      </c>
      <c r="BF140" t="s">
        <v>283</v>
      </c>
      <c r="BG140" t="s">
        <v>288</v>
      </c>
      <c r="BH140" t="s">
        <v>665</v>
      </c>
      <c r="BI140" t="s">
        <v>666</v>
      </c>
      <c r="BJ140" t="s">
        <v>665</v>
      </c>
      <c r="BK140" t="s">
        <v>207</v>
      </c>
      <c r="BQ140">
        <v>1</v>
      </c>
      <c r="BS140" t="s">
        <v>624</v>
      </c>
    </row>
    <row r="141" spans="1:71" x14ac:dyDescent="0.2">
      <c r="A141" t="s">
        <v>831</v>
      </c>
      <c r="B141" t="s">
        <v>211</v>
      </c>
      <c r="E141" t="str">
        <f>_xlfn.CONCAT(projectMetadata!$D$8,"_",sampleMetadata!A141)</f>
        <v>CROP_2024_1107</v>
      </c>
      <c r="F141" t="str">
        <f t="shared" si="6"/>
        <v>1107</v>
      </c>
      <c r="H141" t="s">
        <v>879</v>
      </c>
      <c r="J141">
        <v>-0.81746413220000003</v>
      </c>
      <c r="K141">
        <v>54.304683900500002</v>
      </c>
      <c r="P141" t="s">
        <v>693</v>
      </c>
      <c r="Q141" s="7">
        <v>45254.555555555555</v>
      </c>
      <c r="R141" t="s">
        <v>663</v>
      </c>
      <c r="U141" t="s">
        <v>886</v>
      </c>
      <c r="V141" t="s">
        <v>664</v>
      </c>
      <c r="W141" t="s">
        <v>887</v>
      </c>
      <c r="X141" t="s">
        <v>207</v>
      </c>
      <c r="Y141" t="s">
        <v>883</v>
      </c>
      <c r="Z141" t="s">
        <v>884</v>
      </c>
      <c r="AA141">
        <v>2000</v>
      </c>
      <c r="AB141" t="s">
        <v>239</v>
      </c>
      <c r="AC141">
        <v>10</v>
      </c>
      <c r="AD141" t="s">
        <v>254</v>
      </c>
      <c r="AE141" t="s">
        <v>885</v>
      </c>
      <c r="AP141">
        <v>0.45</v>
      </c>
      <c r="AS141" t="s">
        <v>267</v>
      </c>
      <c r="AT141" t="s">
        <v>888</v>
      </c>
      <c r="AY141">
        <v>-18</v>
      </c>
      <c r="BF141" t="s">
        <v>283</v>
      </c>
      <c r="BG141" t="s">
        <v>288</v>
      </c>
      <c r="BH141" t="s">
        <v>665</v>
      </c>
      <c r="BI141" t="s">
        <v>666</v>
      </c>
      <c r="BJ141" t="s">
        <v>665</v>
      </c>
      <c r="BK141" t="s">
        <v>207</v>
      </c>
      <c r="BQ141">
        <v>1</v>
      </c>
      <c r="BS141" t="s">
        <v>624</v>
      </c>
    </row>
    <row r="142" spans="1:71" x14ac:dyDescent="0.2">
      <c r="A142" t="s">
        <v>832</v>
      </c>
      <c r="B142" t="s">
        <v>211</v>
      </c>
      <c r="E142" t="str">
        <f>_xlfn.CONCAT(projectMetadata!$D$8,"_",sampleMetadata!A142)</f>
        <v>CROP_2024_1108</v>
      </c>
      <c r="F142" t="str">
        <f t="shared" si="6"/>
        <v>1108</v>
      </c>
      <c r="H142" t="s">
        <v>879</v>
      </c>
      <c r="J142">
        <v>-0.81789849059999997</v>
      </c>
      <c r="K142">
        <v>54.3045943399</v>
      </c>
      <c r="P142" t="s">
        <v>693</v>
      </c>
      <c r="Q142" s="7">
        <v>45254.548611111109</v>
      </c>
      <c r="R142" t="s">
        <v>663</v>
      </c>
      <c r="U142" t="s">
        <v>886</v>
      </c>
      <c r="V142" t="s">
        <v>664</v>
      </c>
      <c r="W142" t="s">
        <v>887</v>
      </c>
      <c r="X142" t="s">
        <v>207</v>
      </c>
      <c r="Y142" t="s">
        <v>883</v>
      </c>
      <c r="Z142" t="s">
        <v>884</v>
      </c>
      <c r="AA142">
        <v>2000</v>
      </c>
      <c r="AB142" t="s">
        <v>239</v>
      </c>
      <c r="AC142">
        <v>10</v>
      </c>
      <c r="AD142" t="s">
        <v>254</v>
      </c>
      <c r="AE142" t="s">
        <v>885</v>
      </c>
      <c r="AP142">
        <v>0.45</v>
      </c>
      <c r="AS142" t="s">
        <v>267</v>
      </c>
      <c r="AT142" t="s">
        <v>888</v>
      </c>
      <c r="AY142">
        <v>-18</v>
      </c>
      <c r="BF142" t="s">
        <v>283</v>
      </c>
      <c r="BG142" t="s">
        <v>288</v>
      </c>
      <c r="BH142" t="s">
        <v>665</v>
      </c>
      <c r="BI142" t="s">
        <v>666</v>
      </c>
      <c r="BJ142" t="s">
        <v>665</v>
      </c>
      <c r="BK142" t="s">
        <v>207</v>
      </c>
      <c r="BQ142">
        <v>1</v>
      </c>
      <c r="BS142" t="s">
        <v>624</v>
      </c>
    </row>
    <row r="143" spans="1:71" x14ac:dyDescent="0.2">
      <c r="A143" t="s">
        <v>833</v>
      </c>
      <c r="B143" t="s">
        <v>211</v>
      </c>
      <c r="E143" t="str">
        <f>_xlfn.CONCAT(projectMetadata!$D$8,"_",sampleMetadata!A143)</f>
        <v>CROP_2024_1109</v>
      </c>
      <c r="F143" t="str">
        <f t="shared" si="6"/>
        <v>1109</v>
      </c>
      <c r="H143" t="s">
        <v>879</v>
      </c>
      <c r="J143">
        <v>-0.81844388800000001</v>
      </c>
      <c r="K143">
        <v>54.304359957000003</v>
      </c>
      <c r="P143" t="s">
        <v>693</v>
      </c>
      <c r="Q143" s="7">
        <v>45254.53125</v>
      </c>
      <c r="R143" t="s">
        <v>663</v>
      </c>
      <c r="U143" t="s">
        <v>886</v>
      </c>
      <c r="V143" t="s">
        <v>664</v>
      </c>
      <c r="W143" t="s">
        <v>887</v>
      </c>
      <c r="X143" t="s">
        <v>207</v>
      </c>
      <c r="Y143" t="s">
        <v>883</v>
      </c>
      <c r="Z143" t="s">
        <v>884</v>
      </c>
      <c r="AA143">
        <v>2000</v>
      </c>
      <c r="AB143" t="s">
        <v>239</v>
      </c>
      <c r="AC143">
        <v>10</v>
      </c>
      <c r="AD143" t="s">
        <v>254</v>
      </c>
      <c r="AE143" t="s">
        <v>885</v>
      </c>
      <c r="AP143">
        <v>0.45</v>
      </c>
      <c r="AS143" t="s">
        <v>267</v>
      </c>
      <c r="AT143" t="s">
        <v>888</v>
      </c>
      <c r="AY143">
        <v>-18</v>
      </c>
      <c r="BF143" t="s">
        <v>283</v>
      </c>
      <c r="BG143" t="s">
        <v>288</v>
      </c>
      <c r="BH143" t="s">
        <v>665</v>
      </c>
      <c r="BI143" t="s">
        <v>666</v>
      </c>
      <c r="BJ143" t="s">
        <v>665</v>
      </c>
      <c r="BK143" t="s">
        <v>207</v>
      </c>
      <c r="BQ143">
        <v>1</v>
      </c>
      <c r="BS143" t="s">
        <v>624</v>
      </c>
    </row>
    <row r="144" spans="1:71" x14ac:dyDescent="0.2">
      <c r="A144" t="s">
        <v>834</v>
      </c>
      <c r="B144" t="s">
        <v>211</v>
      </c>
      <c r="E144" t="str">
        <f>_xlfn.CONCAT(projectMetadata!$D$8,"_",sampleMetadata!A144)</f>
        <v>CROP_2024_1110</v>
      </c>
      <c r="F144" t="str">
        <f t="shared" si="6"/>
        <v>1110</v>
      </c>
      <c r="H144" t="s">
        <v>879</v>
      </c>
      <c r="J144">
        <v>-0.81895989270000003</v>
      </c>
      <c r="K144">
        <v>54.304236095500002</v>
      </c>
      <c r="P144" t="s">
        <v>693</v>
      </c>
      <c r="Q144" s="7">
        <v>45254.524305555555</v>
      </c>
      <c r="R144" t="s">
        <v>663</v>
      </c>
      <c r="U144" t="s">
        <v>886</v>
      </c>
      <c r="V144" t="s">
        <v>664</v>
      </c>
      <c r="W144" t="s">
        <v>887</v>
      </c>
      <c r="X144" t="s">
        <v>207</v>
      </c>
      <c r="Y144" t="s">
        <v>883</v>
      </c>
      <c r="Z144" t="s">
        <v>884</v>
      </c>
      <c r="AA144">
        <v>2000</v>
      </c>
      <c r="AB144" t="s">
        <v>239</v>
      </c>
      <c r="AC144">
        <v>10</v>
      </c>
      <c r="AD144" t="s">
        <v>254</v>
      </c>
      <c r="AE144" t="s">
        <v>885</v>
      </c>
      <c r="AP144">
        <v>0.45</v>
      </c>
      <c r="AS144" t="s">
        <v>267</v>
      </c>
      <c r="AT144" t="s">
        <v>888</v>
      </c>
      <c r="AY144">
        <v>-18</v>
      </c>
      <c r="BF144" t="s">
        <v>283</v>
      </c>
      <c r="BG144" t="s">
        <v>288</v>
      </c>
      <c r="BH144" t="s">
        <v>665</v>
      </c>
      <c r="BI144" t="s">
        <v>666</v>
      </c>
      <c r="BJ144" t="s">
        <v>665</v>
      </c>
      <c r="BK144" t="s">
        <v>207</v>
      </c>
      <c r="BQ144">
        <v>1</v>
      </c>
      <c r="BS144" t="s">
        <v>624</v>
      </c>
    </row>
    <row r="145" spans="1:71" x14ac:dyDescent="0.2">
      <c r="A145" t="s">
        <v>835</v>
      </c>
      <c r="B145" t="s">
        <v>211</v>
      </c>
      <c r="E145" t="str">
        <f>_xlfn.CONCAT(projectMetadata!$D$8,"_",sampleMetadata!A145)</f>
        <v>CROP_2024_1111</v>
      </c>
      <c r="F145" t="str">
        <f t="shared" si="6"/>
        <v>1111</v>
      </c>
      <c r="H145" t="s">
        <v>879</v>
      </c>
      <c r="J145">
        <v>-0.81992500000000001</v>
      </c>
      <c r="K145">
        <v>54.304091</v>
      </c>
      <c r="P145" t="s">
        <v>693</v>
      </c>
      <c r="Q145" s="7">
        <v>45254.6875</v>
      </c>
      <c r="R145" t="s">
        <v>663</v>
      </c>
      <c r="U145" t="s">
        <v>886</v>
      </c>
      <c r="V145" t="s">
        <v>664</v>
      </c>
      <c r="W145" t="s">
        <v>887</v>
      </c>
      <c r="X145" t="s">
        <v>207</v>
      </c>
      <c r="Y145" t="s">
        <v>883</v>
      </c>
      <c r="Z145" t="s">
        <v>884</v>
      </c>
      <c r="AA145">
        <v>2000</v>
      </c>
      <c r="AB145" t="s">
        <v>239</v>
      </c>
      <c r="AC145">
        <v>10</v>
      </c>
      <c r="AD145" t="s">
        <v>254</v>
      </c>
      <c r="AE145" t="s">
        <v>885</v>
      </c>
      <c r="AP145">
        <v>0.45</v>
      </c>
      <c r="AS145" t="s">
        <v>267</v>
      </c>
      <c r="AT145" t="s">
        <v>888</v>
      </c>
      <c r="AY145">
        <v>-18</v>
      </c>
      <c r="BF145" t="s">
        <v>283</v>
      </c>
      <c r="BG145" t="s">
        <v>288</v>
      </c>
      <c r="BH145" t="s">
        <v>665</v>
      </c>
      <c r="BI145" t="s">
        <v>666</v>
      </c>
      <c r="BJ145" t="s">
        <v>665</v>
      </c>
      <c r="BK145" t="s">
        <v>207</v>
      </c>
      <c r="BQ145">
        <v>1</v>
      </c>
      <c r="BS145" t="s">
        <v>624</v>
      </c>
    </row>
    <row r="146" spans="1:71" x14ac:dyDescent="0.2">
      <c r="A146" t="s">
        <v>836</v>
      </c>
      <c r="B146" t="s">
        <v>211</v>
      </c>
      <c r="E146" t="str">
        <f>_xlfn.CONCAT(projectMetadata!$D$8,"_",sampleMetadata!A146)</f>
        <v>CROP_2024_1112</v>
      </c>
      <c r="F146" t="str">
        <f t="shared" si="6"/>
        <v>1112</v>
      </c>
      <c r="H146" t="s">
        <v>879</v>
      </c>
      <c r="J146">
        <v>-0.82961300000000004</v>
      </c>
      <c r="K146">
        <v>54.303711999999997</v>
      </c>
      <c r="P146" t="s">
        <v>693</v>
      </c>
      <c r="Q146" s="7">
        <v>45254.701388888891</v>
      </c>
      <c r="R146" t="s">
        <v>663</v>
      </c>
      <c r="U146" t="s">
        <v>886</v>
      </c>
      <c r="V146" t="s">
        <v>664</v>
      </c>
      <c r="W146" t="s">
        <v>887</v>
      </c>
      <c r="X146" t="s">
        <v>207</v>
      </c>
      <c r="Y146" t="s">
        <v>883</v>
      </c>
      <c r="Z146" t="s">
        <v>884</v>
      </c>
      <c r="AA146">
        <v>2000</v>
      </c>
      <c r="AB146" t="s">
        <v>239</v>
      </c>
      <c r="AC146">
        <v>10</v>
      </c>
      <c r="AD146" t="s">
        <v>254</v>
      </c>
      <c r="AE146" t="s">
        <v>885</v>
      </c>
      <c r="AP146">
        <v>0.45</v>
      </c>
      <c r="AS146" t="s">
        <v>267</v>
      </c>
      <c r="AT146" t="s">
        <v>888</v>
      </c>
      <c r="AY146">
        <v>-18</v>
      </c>
      <c r="BF146" t="s">
        <v>283</v>
      </c>
      <c r="BG146" t="s">
        <v>288</v>
      </c>
      <c r="BH146" t="s">
        <v>665</v>
      </c>
      <c r="BI146" t="s">
        <v>666</v>
      </c>
      <c r="BJ146" t="s">
        <v>665</v>
      </c>
      <c r="BK146" t="s">
        <v>207</v>
      </c>
      <c r="BQ146">
        <v>1</v>
      </c>
      <c r="BS146" t="s">
        <v>624</v>
      </c>
    </row>
    <row r="147" spans="1:71" x14ac:dyDescent="0.2">
      <c r="A147" t="s">
        <v>837</v>
      </c>
      <c r="B147" t="s">
        <v>211</v>
      </c>
      <c r="E147" t="str">
        <f>_xlfn.CONCAT(projectMetadata!$D$8,"_",sampleMetadata!A147)</f>
        <v>CROP_2024_1113</v>
      </c>
      <c r="F147" t="str">
        <f t="shared" si="6"/>
        <v>1113</v>
      </c>
      <c r="H147" t="s">
        <v>879</v>
      </c>
      <c r="J147">
        <v>-0.84197299999999997</v>
      </c>
      <c r="K147">
        <v>54.301808999999999</v>
      </c>
      <c r="P147" t="s">
        <v>693</v>
      </c>
      <c r="Q147" s="7">
        <v>45254.715277777781</v>
      </c>
      <c r="R147" t="s">
        <v>663</v>
      </c>
      <c r="U147" t="s">
        <v>886</v>
      </c>
      <c r="V147" t="s">
        <v>664</v>
      </c>
      <c r="W147" t="s">
        <v>887</v>
      </c>
      <c r="X147" t="s">
        <v>207</v>
      </c>
      <c r="Y147" t="s">
        <v>883</v>
      </c>
      <c r="Z147" t="s">
        <v>884</v>
      </c>
      <c r="AA147">
        <v>2000</v>
      </c>
      <c r="AB147" t="s">
        <v>239</v>
      </c>
      <c r="AC147">
        <v>10</v>
      </c>
      <c r="AD147" t="s">
        <v>254</v>
      </c>
      <c r="AE147" t="s">
        <v>885</v>
      </c>
      <c r="AP147">
        <v>0.45</v>
      </c>
      <c r="AS147" t="s">
        <v>267</v>
      </c>
      <c r="AT147" t="s">
        <v>888</v>
      </c>
      <c r="AY147">
        <v>-18</v>
      </c>
      <c r="BF147" t="s">
        <v>283</v>
      </c>
      <c r="BG147" t="s">
        <v>288</v>
      </c>
      <c r="BH147" t="s">
        <v>665</v>
      </c>
      <c r="BI147" t="s">
        <v>666</v>
      </c>
      <c r="BJ147" t="s">
        <v>665</v>
      </c>
      <c r="BK147" t="s">
        <v>207</v>
      </c>
      <c r="BQ147">
        <v>1</v>
      </c>
      <c r="BS147" t="s">
        <v>624</v>
      </c>
    </row>
    <row r="148" spans="1:71" x14ac:dyDescent="0.2">
      <c r="A148" t="s">
        <v>838</v>
      </c>
      <c r="B148" t="s">
        <v>211</v>
      </c>
      <c r="E148" t="str">
        <f>_xlfn.CONCAT(projectMetadata!$D$8,"_",sampleMetadata!A148)</f>
        <v>CROP_2024_1114</v>
      </c>
      <c r="F148" t="str">
        <f t="shared" si="6"/>
        <v>1114</v>
      </c>
      <c r="H148" t="s">
        <v>879</v>
      </c>
      <c r="J148">
        <v>-0.84570699999999999</v>
      </c>
      <c r="K148">
        <v>54.295704999999998</v>
      </c>
      <c r="P148" t="s">
        <v>693</v>
      </c>
      <c r="Q148" s="7">
        <v>45254.729166666664</v>
      </c>
      <c r="R148" t="s">
        <v>663</v>
      </c>
      <c r="U148" t="s">
        <v>886</v>
      </c>
      <c r="V148" t="s">
        <v>664</v>
      </c>
      <c r="W148" t="s">
        <v>887</v>
      </c>
      <c r="X148" t="s">
        <v>207</v>
      </c>
      <c r="Y148" t="s">
        <v>883</v>
      </c>
      <c r="Z148" t="s">
        <v>884</v>
      </c>
      <c r="AA148">
        <v>2000</v>
      </c>
      <c r="AB148" t="s">
        <v>239</v>
      </c>
      <c r="AC148">
        <v>10</v>
      </c>
      <c r="AD148" t="s">
        <v>254</v>
      </c>
      <c r="AE148" t="s">
        <v>885</v>
      </c>
      <c r="AP148">
        <v>0.45</v>
      </c>
      <c r="AS148" t="s">
        <v>267</v>
      </c>
      <c r="AT148" t="s">
        <v>888</v>
      </c>
      <c r="AY148">
        <v>-18</v>
      </c>
      <c r="BF148" t="s">
        <v>283</v>
      </c>
      <c r="BG148" t="s">
        <v>288</v>
      </c>
      <c r="BH148" t="s">
        <v>665</v>
      </c>
      <c r="BI148" t="s">
        <v>666</v>
      </c>
      <c r="BJ148" t="s">
        <v>665</v>
      </c>
      <c r="BK148" t="s">
        <v>207</v>
      </c>
      <c r="BQ148">
        <v>1</v>
      </c>
      <c r="BS148" t="s">
        <v>624</v>
      </c>
    </row>
    <row r="149" spans="1:71" x14ac:dyDescent="0.2">
      <c r="A149" t="s">
        <v>839</v>
      </c>
      <c r="B149" t="s">
        <v>212</v>
      </c>
      <c r="C149" t="s">
        <v>220</v>
      </c>
      <c r="E149" t="str">
        <f>_xlfn.CONCAT(projectMetadata!$D$8,"_",sampleMetadata!A149)</f>
        <v>CROP_2024_11EB</v>
      </c>
      <c r="F149" t="str">
        <f t="shared" si="6"/>
        <v>11EB</v>
      </c>
      <c r="Q149" s="7"/>
      <c r="BF149" t="s">
        <v>283</v>
      </c>
      <c r="BG149" t="s">
        <v>288</v>
      </c>
      <c r="BH149" t="s">
        <v>665</v>
      </c>
      <c r="BI149" t="s">
        <v>666</v>
      </c>
      <c r="BJ149" t="s">
        <v>665</v>
      </c>
      <c r="BK149" t="s">
        <v>207</v>
      </c>
      <c r="BQ149">
        <v>1</v>
      </c>
      <c r="BS149" t="s">
        <v>624</v>
      </c>
    </row>
    <row r="150" spans="1:71" x14ac:dyDescent="0.2">
      <c r="A150" t="s">
        <v>840</v>
      </c>
      <c r="B150" t="s">
        <v>212</v>
      </c>
      <c r="C150" t="s">
        <v>218</v>
      </c>
      <c r="E150" t="str">
        <f>_xlfn.CONCAT(projectMetadata!$D$8,"_",sampleMetadata!A150)</f>
        <v>CROP_2024_11FB</v>
      </c>
      <c r="F150" t="str">
        <f t="shared" si="6"/>
        <v>11FB</v>
      </c>
      <c r="Q150" s="7"/>
      <c r="AP150">
        <v>0.45</v>
      </c>
      <c r="AS150" t="s">
        <v>267</v>
      </c>
      <c r="AT150" t="s">
        <v>888</v>
      </c>
      <c r="AY150">
        <v>-18</v>
      </c>
      <c r="BF150" t="s">
        <v>283</v>
      </c>
      <c r="BG150" t="s">
        <v>288</v>
      </c>
      <c r="BH150" t="s">
        <v>665</v>
      </c>
      <c r="BI150" t="s">
        <v>666</v>
      </c>
      <c r="BJ150" t="s">
        <v>665</v>
      </c>
      <c r="BK150" t="s">
        <v>207</v>
      </c>
      <c r="BQ150">
        <v>1</v>
      </c>
      <c r="BS150" t="s">
        <v>624</v>
      </c>
    </row>
    <row r="151" spans="1:71" x14ac:dyDescent="0.2">
      <c r="A151" t="s">
        <v>841</v>
      </c>
      <c r="B151" t="s">
        <v>211</v>
      </c>
      <c r="E151" t="str">
        <f>_xlfn.CONCAT(projectMetadata!$D$8,"_",sampleMetadata!A151)</f>
        <v>CROP_2024_1201</v>
      </c>
      <c r="F151" t="str">
        <f t="shared" si="6"/>
        <v>1201</v>
      </c>
      <c r="H151" t="s">
        <v>880</v>
      </c>
      <c r="J151">
        <v>-0.81100264290000001</v>
      </c>
      <c r="K151">
        <v>54.305806249900002</v>
      </c>
      <c r="P151" t="s">
        <v>693</v>
      </c>
      <c r="Q151" s="7">
        <v>45273.572916666664</v>
      </c>
      <c r="R151" t="s">
        <v>663</v>
      </c>
      <c r="U151" t="s">
        <v>886</v>
      </c>
      <c r="V151" t="s">
        <v>664</v>
      </c>
      <c r="W151" t="s">
        <v>887</v>
      </c>
      <c r="X151" t="s">
        <v>207</v>
      </c>
      <c r="Y151" t="s">
        <v>883</v>
      </c>
      <c r="Z151" t="s">
        <v>884</v>
      </c>
      <c r="AA151">
        <v>2000</v>
      </c>
      <c r="AB151" t="s">
        <v>239</v>
      </c>
      <c r="AC151">
        <v>10</v>
      </c>
      <c r="AD151" t="s">
        <v>254</v>
      </c>
      <c r="AE151" t="s">
        <v>885</v>
      </c>
      <c r="AP151">
        <v>0.45</v>
      </c>
      <c r="AS151" t="s">
        <v>267</v>
      </c>
      <c r="AT151" t="s">
        <v>888</v>
      </c>
      <c r="AY151">
        <v>-18</v>
      </c>
      <c r="BF151" t="s">
        <v>283</v>
      </c>
      <c r="BG151" t="s">
        <v>288</v>
      </c>
      <c r="BH151" t="s">
        <v>665</v>
      </c>
      <c r="BI151" t="s">
        <v>666</v>
      </c>
      <c r="BJ151" t="s">
        <v>665</v>
      </c>
      <c r="BK151" t="s">
        <v>207</v>
      </c>
      <c r="BQ151">
        <v>1</v>
      </c>
      <c r="BS151" t="s">
        <v>624</v>
      </c>
    </row>
    <row r="152" spans="1:71" x14ac:dyDescent="0.2">
      <c r="A152" t="s">
        <v>842</v>
      </c>
      <c r="B152" t="s">
        <v>211</v>
      </c>
      <c r="E152" t="str">
        <f>_xlfn.CONCAT(projectMetadata!$D$8,"_",sampleMetadata!A152)</f>
        <v>CROP_2024_1202</v>
      </c>
      <c r="F152" t="str">
        <f t="shared" si="6"/>
        <v>1202</v>
      </c>
      <c r="H152" t="s">
        <v>880</v>
      </c>
      <c r="J152">
        <v>-0.80960975670000002</v>
      </c>
      <c r="K152">
        <v>54.306324540200002</v>
      </c>
      <c r="P152" t="s">
        <v>693</v>
      </c>
      <c r="Q152" s="7">
        <v>45273.559027777781</v>
      </c>
      <c r="R152" t="s">
        <v>663</v>
      </c>
      <c r="U152" t="s">
        <v>886</v>
      </c>
      <c r="V152" t="s">
        <v>664</v>
      </c>
      <c r="W152" t="s">
        <v>887</v>
      </c>
      <c r="X152" t="s">
        <v>207</v>
      </c>
      <c r="Y152" t="s">
        <v>883</v>
      </c>
      <c r="Z152" t="s">
        <v>884</v>
      </c>
      <c r="AA152">
        <v>2000</v>
      </c>
      <c r="AB152" t="s">
        <v>239</v>
      </c>
      <c r="AC152">
        <v>10</v>
      </c>
      <c r="AD152" t="s">
        <v>254</v>
      </c>
      <c r="AE152" t="s">
        <v>885</v>
      </c>
      <c r="AP152">
        <v>0.45</v>
      </c>
      <c r="AS152" t="s">
        <v>267</v>
      </c>
      <c r="AT152" t="s">
        <v>888</v>
      </c>
      <c r="AY152">
        <v>-18</v>
      </c>
      <c r="BF152" t="s">
        <v>283</v>
      </c>
      <c r="BG152" t="s">
        <v>288</v>
      </c>
      <c r="BH152" t="s">
        <v>665</v>
      </c>
      <c r="BI152" t="s">
        <v>666</v>
      </c>
      <c r="BJ152" t="s">
        <v>665</v>
      </c>
      <c r="BK152" t="s">
        <v>207</v>
      </c>
      <c r="BQ152">
        <v>1</v>
      </c>
      <c r="BS152" t="s">
        <v>624</v>
      </c>
    </row>
    <row r="153" spans="1:71" x14ac:dyDescent="0.2">
      <c r="A153" t="s">
        <v>843</v>
      </c>
      <c r="B153" t="s">
        <v>211</v>
      </c>
      <c r="E153" t="str">
        <f>_xlfn.CONCAT(projectMetadata!$D$8,"_",sampleMetadata!A153)</f>
        <v>CROP_2024_1203</v>
      </c>
      <c r="F153" t="str">
        <f t="shared" si="6"/>
        <v>1203</v>
      </c>
      <c r="H153" t="s">
        <v>880</v>
      </c>
      <c r="J153">
        <v>-0.81187299260000001</v>
      </c>
      <c r="K153">
        <v>54.305987271100001</v>
      </c>
      <c r="P153" t="s">
        <v>693</v>
      </c>
      <c r="Q153" s="7">
        <v>45273.559027777781</v>
      </c>
      <c r="R153" t="s">
        <v>663</v>
      </c>
      <c r="U153" t="s">
        <v>886</v>
      </c>
      <c r="V153" t="s">
        <v>664</v>
      </c>
      <c r="W153" t="s">
        <v>887</v>
      </c>
      <c r="X153" t="s">
        <v>207</v>
      </c>
      <c r="Y153" t="s">
        <v>883</v>
      </c>
      <c r="Z153" t="s">
        <v>884</v>
      </c>
      <c r="AA153">
        <v>2000</v>
      </c>
      <c r="AB153" t="s">
        <v>239</v>
      </c>
      <c r="AC153">
        <v>10</v>
      </c>
      <c r="AD153" t="s">
        <v>254</v>
      </c>
      <c r="AE153" t="s">
        <v>885</v>
      </c>
      <c r="AP153">
        <v>0.45</v>
      </c>
      <c r="AS153" t="s">
        <v>267</v>
      </c>
      <c r="AT153" t="s">
        <v>888</v>
      </c>
      <c r="AY153">
        <v>-18</v>
      </c>
      <c r="BF153" t="s">
        <v>283</v>
      </c>
      <c r="BG153" t="s">
        <v>288</v>
      </c>
      <c r="BH153" t="s">
        <v>665</v>
      </c>
      <c r="BI153" t="s">
        <v>666</v>
      </c>
      <c r="BJ153" t="s">
        <v>665</v>
      </c>
      <c r="BK153" t="s">
        <v>207</v>
      </c>
      <c r="BQ153">
        <v>1</v>
      </c>
      <c r="BS153" t="s">
        <v>624</v>
      </c>
    </row>
    <row r="154" spans="1:71" x14ac:dyDescent="0.2">
      <c r="A154" t="s">
        <v>844</v>
      </c>
      <c r="B154" t="s">
        <v>211</v>
      </c>
      <c r="E154" t="str">
        <f>_xlfn.CONCAT(projectMetadata!$D$8,"_",sampleMetadata!A154)</f>
        <v>CROP_2024_1204</v>
      </c>
      <c r="F154" t="str">
        <f t="shared" si="6"/>
        <v>1204</v>
      </c>
      <c r="H154" t="s">
        <v>880</v>
      </c>
      <c r="J154">
        <v>-0.81155620490000002</v>
      </c>
      <c r="K154">
        <v>54.305646188399997</v>
      </c>
      <c r="P154" t="s">
        <v>693</v>
      </c>
      <c r="Q154" s="7">
        <v>45273.545138888891</v>
      </c>
      <c r="R154" t="s">
        <v>663</v>
      </c>
      <c r="U154" t="s">
        <v>886</v>
      </c>
      <c r="V154" t="s">
        <v>664</v>
      </c>
      <c r="W154" t="s">
        <v>887</v>
      </c>
      <c r="X154" t="s">
        <v>207</v>
      </c>
      <c r="Y154" t="s">
        <v>883</v>
      </c>
      <c r="Z154" t="s">
        <v>884</v>
      </c>
      <c r="AA154">
        <v>2000</v>
      </c>
      <c r="AB154" t="s">
        <v>239</v>
      </c>
      <c r="AC154">
        <v>10</v>
      </c>
      <c r="AD154" t="s">
        <v>254</v>
      </c>
      <c r="AE154" t="s">
        <v>885</v>
      </c>
      <c r="AP154">
        <v>0.45</v>
      </c>
      <c r="AS154" t="s">
        <v>267</v>
      </c>
      <c r="AT154" t="s">
        <v>888</v>
      </c>
      <c r="AY154">
        <v>-18</v>
      </c>
      <c r="BF154" t="s">
        <v>283</v>
      </c>
      <c r="BG154" t="s">
        <v>288</v>
      </c>
      <c r="BH154" t="s">
        <v>665</v>
      </c>
      <c r="BI154" t="s">
        <v>666</v>
      </c>
      <c r="BJ154" t="s">
        <v>665</v>
      </c>
      <c r="BK154" t="s">
        <v>207</v>
      </c>
      <c r="BQ154">
        <v>1</v>
      </c>
      <c r="BS154" t="s">
        <v>624</v>
      </c>
    </row>
    <row r="155" spans="1:71" x14ac:dyDescent="0.2">
      <c r="A155" t="s">
        <v>845</v>
      </c>
      <c r="B155" t="s">
        <v>211</v>
      </c>
      <c r="E155" t="str">
        <f>_xlfn.CONCAT(projectMetadata!$D$8,"_",sampleMetadata!A155)</f>
        <v>CROP_2024_1205</v>
      </c>
      <c r="F155" t="str">
        <f t="shared" si="6"/>
        <v>1205</v>
      </c>
      <c r="H155" t="s">
        <v>881</v>
      </c>
      <c r="J155">
        <v>-0.81322505560000002</v>
      </c>
      <c r="K155">
        <v>54.305209826999999</v>
      </c>
      <c r="P155" t="s">
        <v>693</v>
      </c>
      <c r="Q155" s="7">
        <v>45273.53125</v>
      </c>
      <c r="R155" t="s">
        <v>663</v>
      </c>
      <c r="U155" t="s">
        <v>886</v>
      </c>
      <c r="V155" t="s">
        <v>664</v>
      </c>
      <c r="W155" t="s">
        <v>887</v>
      </c>
      <c r="X155" t="s">
        <v>207</v>
      </c>
      <c r="Y155" t="s">
        <v>883</v>
      </c>
      <c r="Z155" t="s">
        <v>884</v>
      </c>
      <c r="AA155">
        <v>2000</v>
      </c>
      <c r="AB155" t="s">
        <v>239</v>
      </c>
      <c r="AC155">
        <v>10</v>
      </c>
      <c r="AD155" t="s">
        <v>254</v>
      </c>
      <c r="AE155" t="s">
        <v>885</v>
      </c>
      <c r="AP155">
        <v>0.45</v>
      </c>
      <c r="AS155" t="s">
        <v>267</v>
      </c>
      <c r="AT155" t="s">
        <v>888</v>
      </c>
      <c r="AY155">
        <v>-18</v>
      </c>
      <c r="BF155" t="s">
        <v>283</v>
      </c>
      <c r="BG155" t="s">
        <v>288</v>
      </c>
      <c r="BH155" t="s">
        <v>665</v>
      </c>
      <c r="BI155" t="s">
        <v>666</v>
      </c>
      <c r="BJ155" t="s">
        <v>665</v>
      </c>
      <c r="BK155" t="s">
        <v>207</v>
      </c>
      <c r="BQ155">
        <v>1</v>
      </c>
      <c r="BS155" t="s">
        <v>624</v>
      </c>
    </row>
    <row r="156" spans="1:71" x14ac:dyDescent="0.2">
      <c r="A156" t="s">
        <v>846</v>
      </c>
      <c r="B156" t="s">
        <v>211</v>
      </c>
      <c r="E156" t="str">
        <f>_xlfn.CONCAT(projectMetadata!$D$8,"_",sampleMetadata!A156)</f>
        <v>CROP_2024_1206</v>
      </c>
      <c r="F156" t="str">
        <f t="shared" si="6"/>
        <v>1206</v>
      </c>
      <c r="H156" t="s">
        <v>881</v>
      </c>
      <c r="J156">
        <v>-0.81573976209999999</v>
      </c>
      <c r="K156">
        <v>54.304996408400001</v>
      </c>
      <c r="P156" t="s">
        <v>693</v>
      </c>
      <c r="Q156" s="7">
        <v>45273.524305555555</v>
      </c>
      <c r="R156" t="s">
        <v>663</v>
      </c>
      <c r="U156" t="s">
        <v>886</v>
      </c>
      <c r="V156" t="s">
        <v>664</v>
      </c>
      <c r="W156" t="s">
        <v>887</v>
      </c>
      <c r="X156" t="s">
        <v>207</v>
      </c>
      <c r="Y156" t="s">
        <v>883</v>
      </c>
      <c r="Z156" t="s">
        <v>884</v>
      </c>
      <c r="AA156">
        <v>2000</v>
      </c>
      <c r="AB156" t="s">
        <v>239</v>
      </c>
      <c r="AC156">
        <v>10</v>
      </c>
      <c r="AD156" t="s">
        <v>254</v>
      </c>
      <c r="AE156" t="s">
        <v>885</v>
      </c>
      <c r="AP156">
        <v>0.45</v>
      </c>
      <c r="AS156" t="s">
        <v>267</v>
      </c>
      <c r="AT156" t="s">
        <v>888</v>
      </c>
      <c r="AY156">
        <v>-18</v>
      </c>
      <c r="BF156" t="s">
        <v>283</v>
      </c>
      <c r="BG156" t="s">
        <v>288</v>
      </c>
      <c r="BH156" t="s">
        <v>665</v>
      </c>
      <c r="BI156" t="s">
        <v>666</v>
      </c>
      <c r="BJ156" t="s">
        <v>665</v>
      </c>
      <c r="BK156" t="s">
        <v>207</v>
      </c>
      <c r="BQ156">
        <v>1</v>
      </c>
      <c r="BS156" t="s">
        <v>624</v>
      </c>
    </row>
    <row r="157" spans="1:71" x14ac:dyDescent="0.2">
      <c r="A157" t="s">
        <v>847</v>
      </c>
      <c r="B157" t="s">
        <v>211</v>
      </c>
      <c r="E157" t="str">
        <f>_xlfn.CONCAT(projectMetadata!$D$8,"_",sampleMetadata!A157)</f>
        <v>CROP_2024_1207</v>
      </c>
      <c r="F157" t="str">
        <f t="shared" si="6"/>
        <v>1207</v>
      </c>
      <c r="H157" t="s">
        <v>880</v>
      </c>
      <c r="J157">
        <v>-0.81746413220000003</v>
      </c>
      <c r="K157">
        <v>54.304683900500002</v>
      </c>
      <c r="P157" t="s">
        <v>693</v>
      </c>
      <c r="Q157" s="7">
        <v>45273.517361111109</v>
      </c>
      <c r="R157" t="s">
        <v>663</v>
      </c>
      <c r="U157" t="s">
        <v>886</v>
      </c>
      <c r="V157" t="s">
        <v>664</v>
      </c>
      <c r="W157" t="s">
        <v>887</v>
      </c>
      <c r="X157" t="s">
        <v>207</v>
      </c>
      <c r="Y157" t="s">
        <v>883</v>
      </c>
      <c r="Z157" t="s">
        <v>884</v>
      </c>
      <c r="AA157">
        <v>2000</v>
      </c>
      <c r="AB157" t="s">
        <v>239</v>
      </c>
      <c r="AC157">
        <v>10</v>
      </c>
      <c r="AD157" t="s">
        <v>254</v>
      </c>
      <c r="AE157" t="s">
        <v>885</v>
      </c>
      <c r="AP157">
        <v>0.45</v>
      </c>
      <c r="AS157" t="s">
        <v>267</v>
      </c>
      <c r="AT157" t="s">
        <v>888</v>
      </c>
      <c r="AY157">
        <v>-18</v>
      </c>
      <c r="BF157" t="s">
        <v>283</v>
      </c>
      <c r="BG157" t="s">
        <v>288</v>
      </c>
      <c r="BH157" t="s">
        <v>665</v>
      </c>
      <c r="BI157" t="s">
        <v>666</v>
      </c>
      <c r="BJ157" t="s">
        <v>665</v>
      </c>
      <c r="BK157" t="s">
        <v>207</v>
      </c>
      <c r="BQ157">
        <v>1</v>
      </c>
      <c r="BS157" t="s">
        <v>624</v>
      </c>
    </row>
    <row r="158" spans="1:71" x14ac:dyDescent="0.2">
      <c r="A158" t="s">
        <v>848</v>
      </c>
      <c r="B158" t="s">
        <v>211</v>
      </c>
      <c r="E158" t="str">
        <f>_xlfn.CONCAT(projectMetadata!$D$8,"_",sampleMetadata!A158)</f>
        <v>CROP_2024_1208</v>
      </c>
      <c r="F158" t="str">
        <f t="shared" si="6"/>
        <v>1208</v>
      </c>
      <c r="H158" t="s">
        <v>880</v>
      </c>
      <c r="J158">
        <v>-0.81789849059999997</v>
      </c>
      <c r="K158">
        <v>54.3045943399</v>
      </c>
      <c r="P158" t="s">
        <v>693</v>
      </c>
      <c r="Q158" s="7">
        <v>45273.513888888891</v>
      </c>
      <c r="R158" t="s">
        <v>663</v>
      </c>
      <c r="U158" t="s">
        <v>886</v>
      </c>
      <c r="V158" t="s">
        <v>664</v>
      </c>
      <c r="W158" t="s">
        <v>887</v>
      </c>
      <c r="X158" t="s">
        <v>207</v>
      </c>
      <c r="Y158" t="s">
        <v>883</v>
      </c>
      <c r="Z158" t="s">
        <v>884</v>
      </c>
      <c r="AA158">
        <v>2000</v>
      </c>
      <c r="AB158" t="s">
        <v>239</v>
      </c>
      <c r="AC158">
        <v>10</v>
      </c>
      <c r="AD158" t="s">
        <v>254</v>
      </c>
      <c r="AE158" t="s">
        <v>885</v>
      </c>
      <c r="AP158">
        <v>0.45</v>
      </c>
      <c r="AS158" t="s">
        <v>267</v>
      </c>
      <c r="AT158" t="s">
        <v>888</v>
      </c>
      <c r="AY158">
        <v>-18</v>
      </c>
      <c r="BF158" t="s">
        <v>283</v>
      </c>
      <c r="BG158" t="s">
        <v>288</v>
      </c>
      <c r="BH158" t="s">
        <v>665</v>
      </c>
      <c r="BI158" t="s">
        <v>666</v>
      </c>
      <c r="BJ158" t="s">
        <v>665</v>
      </c>
      <c r="BK158" t="s">
        <v>207</v>
      </c>
      <c r="BQ158">
        <v>1</v>
      </c>
      <c r="BS158" t="s">
        <v>624</v>
      </c>
    </row>
    <row r="159" spans="1:71" x14ac:dyDescent="0.2">
      <c r="A159" t="s">
        <v>849</v>
      </c>
      <c r="B159" t="s">
        <v>211</v>
      </c>
      <c r="E159" t="str">
        <f>_xlfn.CONCAT(projectMetadata!$D$8,"_",sampleMetadata!A159)</f>
        <v>CROP_2024_1209</v>
      </c>
      <c r="F159" t="str">
        <f t="shared" si="6"/>
        <v>1209</v>
      </c>
      <c r="H159" t="s">
        <v>880</v>
      </c>
      <c r="J159">
        <v>-0.81844388800000001</v>
      </c>
      <c r="K159">
        <v>54.304359957000003</v>
      </c>
      <c r="P159" t="s">
        <v>693</v>
      </c>
      <c r="Q159" s="7">
        <v>45273.503472222219</v>
      </c>
      <c r="R159" t="s">
        <v>663</v>
      </c>
      <c r="U159" t="s">
        <v>886</v>
      </c>
      <c r="V159" t="s">
        <v>664</v>
      </c>
      <c r="W159" t="s">
        <v>887</v>
      </c>
      <c r="X159" t="s">
        <v>207</v>
      </c>
      <c r="Y159" t="s">
        <v>883</v>
      </c>
      <c r="Z159" t="s">
        <v>884</v>
      </c>
      <c r="AA159">
        <v>2000</v>
      </c>
      <c r="AB159" t="s">
        <v>239</v>
      </c>
      <c r="AC159">
        <v>10</v>
      </c>
      <c r="AD159" t="s">
        <v>254</v>
      </c>
      <c r="AE159" t="s">
        <v>885</v>
      </c>
      <c r="AP159">
        <v>0.45</v>
      </c>
      <c r="AS159" t="s">
        <v>267</v>
      </c>
      <c r="AT159" t="s">
        <v>888</v>
      </c>
      <c r="AY159">
        <v>-18</v>
      </c>
      <c r="BF159" t="s">
        <v>283</v>
      </c>
      <c r="BG159" t="s">
        <v>288</v>
      </c>
      <c r="BH159" t="s">
        <v>665</v>
      </c>
      <c r="BI159" t="s">
        <v>666</v>
      </c>
      <c r="BJ159" t="s">
        <v>665</v>
      </c>
      <c r="BK159" t="s">
        <v>207</v>
      </c>
      <c r="BQ159">
        <v>1</v>
      </c>
      <c r="BS159" t="s">
        <v>624</v>
      </c>
    </row>
    <row r="160" spans="1:71" x14ac:dyDescent="0.2">
      <c r="A160" t="s">
        <v>850</v>
      </c>
      <c r="B160" t="s">
        <v>211</v>
      </c>
      <c r="E160" t="str">
        <f>_xlfn.CONCAT(projectMetadata!$D$8,"_",sampleMetadata!A160)</f>
        <v>CROP_2024_1210</v>
      </c>
      <c r="F160" t="str">
        <f t="shared" si="6"/>
        <v>1210</v>
      </c>
      <c r="H160" t="s">
        <v>880</v>
      </c>
      <c r="J160">
        <v>-0.81895989270000003</v>
      </c>
      <c r="K160">
        <v>54.304236095500002</v>
      </c>
      <c r="P160" t="s">
        <v>693</v>
      </c>
      <c r="Q160" s="7">
        <v>45273.489583333336</v>
      </c>
      <c r="R160" t="s">
        <v>663</v>
      </c>
      <c r="U160" t="s">
        <v>886</v>
      </c>
      <c r="V160" t="s">
        <v>664</v>
      </c>
      <c r="W160" t="s">
        <v>887</v>
      </c>
      <c r="X160" t="s">
        <v>207</v>
      </c>
      <c r="Y160" t="s">
        <v>883</v>
      </c>
      <c r="Z160" t="s">
        <v>884</v>
      </c>
      <c r="AA160">
        <v>2000</v>
      </c>
      <c r="AB160" t="s">
        <v>239</v>
      </c>
      <c r="AC160">
        <v>10</v>
      </c>
      <c r="AD160" t="s">
        <v>254</v>
      </c>
      <c r="AE160" t="s">
        <v>885</v>
      </c>
      <c r="AP160">
        <v>0.45</v>
      </c>
      <c r="AS160" t="s">
        <v>267</v>
      </c>
      <c r="AT160" t="s">
        <v>888</v>
      </c>
      <c r="AY160">
        <v>-18</v>
      </c>
      <c r="BF160" t="s">
        <v>283</v>
      </c>
      <c r="BG160" t="s">
        <v>288</v>
      </c>
      <c r="BH160" t="s">
        <v>665</v>
      </c>
      <c r="BI160" t="s">
        <v>666</v>
      </c>
      <c r="BJ160" t="s">
        <v>665</v>
      </c>
      <c r="BK160" t="s">
        <v>207</v>
      </c>
      <c r="BQ160">
        <v>1</v>
      </c>
      <c r="BS160" t="s">
        <v>624</v>
      </c>
    </row>
    <row r="161" spans="1:71" x14ac:dyDescent="0.2">
      <c r="A161" t="s">
        <v>851</v>
      </c>
      <c r="B161" t="s">
        <v>212</v>
      </c>
      <c r="C161" t="s">
        <v>220</v>
      </c>
      <c r="E161" t="str">
        <f>_xlfn.CONCAT(projectMetadata!$D$8,"_",sampleMetadata!A161)</f>
        <v>CROP_2024_12EB</v>
      </c>
      <c r="F161" t="str">
        <f t="shared" si="6"/>
        <v>12EB</v>
      </c>
      <c r="Q161" s="7"/>
      <c r="BF161" t="s">
        <v>283</v>
      </c>
      <c r="BG161" t="s">
        <v>288</v>
      </c>
      <c r="BH161" t="s">
        <v>665</v>
      </c>
      <c r="BI161" t="s">
        <v>666</v>
      </c>
      <c r="BJ161" t="s">
        <v>665</v>
      </c>
      <c r="BK161" t="s">
        <v>207</v>
      </c>
      <c r="BQ161">
        <v>1</v>
      </c>
      <c r="BS161" t="s">
        <v>624</v>
      </c>
    </row>
    <row r="162" spans="1:71" x14ac:dyDescent="0.2">
      <c r="A162" t="s">
        <v>852</v>
      </c>
      <c r="B162" t="s">
        <v>212</v>
      </c>
      <c r="C162" t="s">
        <v>218</v>
      </c>
      <c r="E162" t="str">
        <f>_xlfn.CONCAT(projectMetadata!$D$8,"_",sampleMetadata!A162)</f>
        <v>CROP_2024_12FB</v>
      </c>
      <c r="F162" t="str">
        <f t="shared" si="6"/>
        <v>12FB</v>
      </c>
      <c r="Q162" s="7"/>
      <c r="AP162">
        <v>0.45</v>
      </c>
      <c r="AS162" t="s">
        <v>267</v>
      </c>
      <c r="AT162" t="s">
        <v>888</v>
      </c>
      <c r="AY162">
        <v>-18</v>
      </c>
      <c r="BF162" t="s">
        <v>283</v>
      </c>
      <c r="BG162" t="s">
        <v>288</v>
      </c>
      <c r="BH162" t="s">
        <v>665</v>
      </c>
      <c r="BI162" t="s">
        <v>666</v>
      </c>
      <c r="BJ162" t="s">
        <v>665</v>
      </c>
      <c r="BK162" t="s">
        <v>207</v>
      </c>
      <c r="BQ162">
        <v>1</v>
      </c>
      <c r="BS162" t="s">
        <v>624</v>
      </c>
    </row>
    <row r="163" spans="1:71" x14ac:dyDescent="0.2">
      <c r="A163" t="s">
        <v>853</v>
      </c>
      <c r="B163" t="s">
        <v>211</v>
      </c>
      <c r="E163" t="str">
        <f>_xlfn.CONCAT(projectMetadata!$D$8,"_",sampleMetadata!A163)</f>
        <v>CROP_2024_1301</v>
      </c>
      <c r="F163" t="str">
        <f t="shared" si="6"/>
        <v>1301</v>
      </c>
      <c r="H163" t="s">
        <v>882</v>
      </c>
      <c r="J163">
        <v>-0.81100264290000001</v>
      </c>
      <c r="K163">
        <v>54.305806249900002</v>
      </c>
      <c r="P163" t="s">
        <v>693</v>
      </c>
      <c r="Q163" s="7">
        <v>45537.513888888891</v>
      </c>
      <c r="R163" t="s">
        <v>663</v>
      </c>
      <c r="U163" t="s">
        <v>886</v>
      </c>
      <c r="V163" t="s">
        <v>664</v>
      </c>
      <c r="W163" t="s">
        <v>887</v>
      </c>
      <c r="X163" t="s">
        <v>207</v>
      </c>
      <c r="Y163" t="s">
        <v>883</v>
      </c>
      <c r="Z163" t="s">
        <v>884</v>
      </c>
      <c r="AA163">
        <v>2000</v>
      </c>
      <c r="AB163" t="s">
        <v>239</v>
      </c>
      <c r="AC163">
        <v>10</v>
      </c>
      <c r="AD163" t="s">
        <v>254</v>
      </c>
      <c r="AE163" t="s">
        <v>885</v>
      </c>
      <c r="AP163">
        <v>0.45</v>
      </c>
      <c r="AS163" t="s">
        <v>267</v>
      </c>
      <c r="AT163" t="s">
        <v>888</v>
      </c>
      <c r="AY163">
        <v>-18</v>
      </c>
      <c r="BF163" t="s">
        <v>283</v>
      </c>
      <c r="BG163" t="s">
        <v>288</v>
      </c>
      <c r="BH163" t="s">
        <v>665</v>
      </c>
      <c r="BI163" t="s">
        <v>666</v>
      </c>
      <c r="BJ163" t="s">
        <v>665</v>
      </c>
      <c r="BK163" t="s">
        <v>207</v>
      </c>
      <c r="BQ163">
        <v>1</v>
      </c>
      <c r="BS163" t="s">
        <v>624</v>
      </c>
    </row>
    <row r="164" spans="1:71" x14ac:dyDescent="0.2">
      <c r="A164" t="s">
        <v>854</v>
      </c>
      <c r="B164" t="s">
        <v>211</v>
      </c>
      <c r="E164" t="str">
        <f>_xlfn.CONCAT(projectMetadata!$D$8,"_",sampleMetadata!A164)</f>
        <v>CROP_2024_1302</v>
      </c>
      <c r="F164" t="str">
        <f t="shared" ref="F164:F174" si="7">LEFT(A164,9)</f>
        <v>1302</v>
      </c>
      <c r="H164" t="s">
        <v>882</v>
      </c>
      <c r="J164">
        <v>-0.80960975670000002</v>
      </c>
      <c r="K164">
        <v>54.306324540200002</v>
      </c>
      <c r="P164" t="s">
        <v>693</v>
      </c>
      <c r="Q164" s="7">
        <v>45537.520833333336</v>
      </c>
      <c r="R164" t="s">
        <v>663</v>
      </c>
      <c r="U164" t="s">
        <v>886</v>
      </c>
      <c r="V164" t="s">
        <v>664</v>
      </c>
      <c r="W164" t="s">
        <v>887</v>
      </c>
      <c r="X164" t="s">
        <v>207</v>
      </c>
      <c r="Y164" t="s">
        <v>883</v>
      </c>
      <c r="Z164" t="s">
        <v>884</v>
      </c>
      <c r="AA164">
        <v>2000</v>
      </c>
      <c r="AB164" t="s">
        <v>239</v>
      </c>
      <c r="AC164">
        <v>10</v>
      </c>
      <c r="AD164" t="s">
        <v>254</v>
      </c>
      <c r="AE164" t="s">
        <v>885</v>
      </c>
      <c r="AP164">
        <v>0.45</v>
      </c>
      <c r="AS164" t="s">
        <v>267</v>
      </c>
      <c r="AT164" t="s">
        <v>888</v>
      </c>
      <c r="AY164">
        <v>-18</v>
      </c>
      <c r="BF164" t="s">
        <v>283</v>
      </c>
      <c r="BG164" t="s">
        <v>288</v>
      </c>
      <c r="BH164" t="s">
        <v>665</v>
      </c>
      <c r="BI164" t="s">
        <v>666</v>
      </c>
      <c r="BJ164" t="s">
        <v>665</v>
      </c>
      <c r="BK164" t="s">
        <v>207</v>
      </c>
      <c r="BQ164">
        <v>1</v>
      </c>
      <c r="BS164" t="s">
        <v>624</v>
      </c>
    </row>
    <row r="165" spans="1:71" x14ac:dyDescent="0.2">
      <c r="A165" t="s">
        <v>855</v>
      </c>
      <c r="B165" t="s">
        <v>211</v>
      </c>
      <c r="E165" t="str">
        <f>_xlfn.CONCAT(projectMetadata!$D$8,"_",sampleMetadata!A165)</f>
        <v>CROP_2024_1303</v>
      </c>
      <c r="F165" t="str">
        <f t="shared" si="7"/>
        <v>1303</v>
      </c>
      <c r="H165" t="s">
        <v>882</v>
      </c>
      <c r="J165">
        <v>-0.81187299260000001</v>
      </c>
      <c r="K165">
        <v>54.305987271100001</v>
      </c>
      <c r="P165" t="s">
        <v>693</v>
      </c>
      <c r="Q165" s="7">
        <v>45537.506944444445</v>
      </c>
      <c r="R165" t="s">
        <v>663</v>
      </c>
      <c r="U165" t="s">
        <v>886</v>
      </c>
      <c r="V165" t="s">
        <v>664</v>
      </c>
      <c r="W165" t="s">
        <v>887</v>
      </c>
      <c r="X165" t="s">
        <v>207</v>
      </c>
      <c r="Y165" t="s">
        <v>883</v>
      </c>
      <c r="Z165" t="s">
        <v>884</v>
      </c>
      <c r="AA165">
        <v>2000</v>
      </c>
      <c r="AB165" t="s">
        <v>239</v>
      </c>
      <c r="AC165">
        <v>10</v>
      </c>
      <c r="AD165" t="s">
        <v>254</v>
      </c>
      <c r="AE165" t="s">
        <v>885</v>
      </c>
      <c r="AP165">
        <v>0.45</v>
      </c>
      <c r="AS165" t="s">
        <v>267</v>
      </c>
      <c r="AT165" t="s">
        <v>888</v>
      </c>
      <c r="AY165">
        <v>-18</v>
      </c>
      <c r="BF165" t="s">
        <v>283</v>
      </c>
      <c r="BG165" t="s">
        <v>288</v>
      </c>
      <c r="BH165" t="s">
        <v>665</v>
      </c>
      <c r="BI165" t="s">
        <v>666</v>
      </c>
      <c r="BJ165" t="s">
        <v>665</v>
      </c>
      <c r="BK165" t="s">
        <v>207</v>
      </c>
      <c r="BQ165">
        <v>1</v>
      </c>
      <c r="BS165" t="s">
        <v>624</v>
      </c>
    </row>
    <row r="166" spans="1:71" x14ac:dyDescent="0.2">
      <c r="A166" t="s">
        <v>856</v>
      </c>
      <c r="B166" t="s">
        <v>211</v>
      </c>
      <c r="E166" t="str">
        <f>_xlfn.CONCAT(projectMetadata!$D$8,"_",sampleMetadata!A166)</f>
        <v>CROP_2024_1304</v>
      </c>
      <c r="F166" t="str">
        <f t="shared" si="7"/>
        <v>1304</v>
      </c>
      <c r="H166" t="s">
        <v>882</v>
      </c>
      <c r="J166">
        <v>-0.81155620490000002</v>
      </c>
      <c r="K166">
        <v>54.305646188399997</v>
      </c>
      <c r="P166" t="s">
        <v>693</v>
      </c>
      <c r="Q166" s="7">
        <v>45537.5</v>
      </c>
      <c r="R166" t="s">
        <v>663</v>
      </c>
      <c r="U166" t="s">
        <v>886</v>
      </c>
      <c r="V166" t="s">
        <v>664</v>
      </c>
      <c r="W166" t="s">
        <v>887</v>
      </c>
      <c r="X166" t="s">
        <v>207</v>
      </c>
      <c r="Y166" t="s">
        <v>883</v>
      </c>
      <c r="Z166" t="s">
        <v>884</v>
      </c>
      <c r="AA166">
        <v>2000</v>
      </c>
      <c r="AB166" t="s">
        <v>239</v>
      </c>
      <c r="AC166">
        <v>10</v>
      </c>
      <c r="AD166" t="s">
        <v>254</v>
      </c>
      <c r="AE166" t="s">
        <v>885</v>
      </c>
      <c r="AP166">
        <v>0.45</v>
      </c>
      <c r="AS166" t="s">
        <v>267</v>
      </c>
      <c r="AT166" t="s">
        <v>888</v>
      </c>
      <c r="AY166">
        <v>-18</v>
      </c>
      <c r="BF166" t="s">
        <v>283</v>
      </c>
      <c r="BG166" t="s">
        <v>288</v>
      </c>
      <c r="BH166" t="s">
        <v>665</v>
      </c>
      <c r="BI166" t="s">
        <v>666</v>
      </c>
      <c r="BJ166" t="s">
        <v>665</v>
      </c>
      <c r="BK166" t="s">
        <v>207</v>
      </c>
      <c r="BQ166">
        <v>1</v>
      </c>
      <c r="BS166" t="s">
        <v>624</v>
      </c>
    </row>
    <row r="167" spans="1:71" x14ac:dyDescent="0.2">
      <c r="A167" t="s">
        <v>857</v>
      </c>
      <c r="B167" t="s">
        <v>211</v>
      </c>
      <c r="E167" t="str">
        <f>_xlfn.CONCAT(projectMetadata!$D$8,"_",sampleMetadata!A167)</f>
        <v>CROP_2024_1305</v>
      </c>
      <c r="F167" t="str">
        <f t="shared" si="7"/>
        <v>1305</v>
      </c>
      <c r="H167" t="s">
        <v>882</v>
      </c>
      <c r="J167">
        <v>-0.81322505560000002</v>
      </c>
      <c r="K167">
        <v>54.305209826999999</v>
      </c>
      <c r="P167" t="s">
        <v>693</v>
      </c>
      <c r="Q167" s="7">
        <v>45537.489583333336</v>
      </c>
      <c r="R167" t="s">
        <v>663</v>
      </c>
      <c r="U167" t="s">
        <v>886</v>
      </c>
      <c r="V167" t="s">
        <v>664</v>
      </c>
      <c r="W167" t="s">
        <v>887</v>
      </c>
      <c r="X167" t="s">
        <v>207</v>
      </c>
      <c r="Y167" t="s">
        <v>883</v>
      </c>
      <c r="Z167" t="s">
        <v>884</v>
      </c>
      <c r="AA167">
        <v>2000</v>
      </c>
      <c r="AB167" t="s">
        <v>239</v>
      </c>
      <c r="AC167">
        <v>10</v>
      </c>
      <c r="AD167" t="s">
        <v>254</v>
      </c>
      <c r="AE167" t="s">
        <v>885</v>
      </c>
      <c r="AP167">
        <v>0.45</v>
      </c>
      <c r="AS167" t="s">
        <v>267</v>
      </c>
      <c r="AT167" t="s">
        <v>888</v>
      </c>
      <c r="AY167">
        <v>-18</v>
      </c>
      <c r="BF167" t="s">
        <v>283</v>
      </c>
      <c r="BG167" t="s">
        <v>288</v>
      </c>
      <c r="BH167" t="s">
        <v>665</v>
      </c>
      <c r="BI167" t="s">
        <v>666</v>
      </c>
      <c r="BJ167" t="s">
        <v>665</v>
      </c>
      <c r="BK167" t="s">
        <v>207</v>
      </c>
      <c r="BQ167">
        <v>1</v>
      </c>
      <c r="BS167" t="s">
        <v>624</v>
      </c>
    </row>
    <row r="168" spans="1:71" x14ac:dyDescent="0.2">
      <c r="A168" t="s">
        <v>858</v>
      </c>
      <c r="B168" t="s">
        <v>211</v>
      </c>
      <c r="E168" t="str">
        <f>_xlfn.CONCAT(projectMetadata!$D$8,"_",sampleMetadata!A168)</f>
        <v>CROP_2024_1306</v>
      </c>
      <c r="F168" t="str">
        <f t="shared" si="7"/>
        <v>1306</v>
      </c>
      <c r="H168" t="s">
        <v>882</v>
      </c>
      <c r="J168">
        <v>-0.81573976209999999</v>
      </c>
      <c r="K168">
        <v>54.304996408400001</v>
      </c>
      <c r="P168" t="s">
        <v>693</v>
      </c>
      <c r="Q168" s="7">
        <v>45537.482638888891</v>
      </c>
      <c r="R168" t="s">
        <v>663</v>
      </c>
      <c r="U168" t="s">
        <v>886</v>
      </c>
      <c r="V168" t="s">
        <v>664</v>
      </c>
      <c r="W168" t="s">
        <v>887</v>
      </c>
      <c r="X168" t="s">
        <v>207</v>
      </c>
      <c r="Y168" t="s">
        <v>883</v>
      </c>
      <c r="Z168" t="s">
        <v>884</v>
      </c>
      <c r="AA168">
        <v>2000</v>
      </c>
      <c r="AB168" t="s">
        <v>239</v>
      </c>
      <c r="AC168">
        <v>10</v>
      </c>
      <c r="AD168" t="s">
        <v>254</v>
      </c>
      <c r="AE168" t="s">
        <v>885</v>
      </c>
      <c r="AP168">
        <v>0.45</v>
      </c>
      <c r="AS168" t="s">
        <v>267</v>
      </c>
      <c r="AT168" t="s">
        <v>888</v>
      </c>
      <c r="AY168">
        <v>-18</v>
      </c>
      <c r="BF168" t="s">
        <v>283</v>
      </c>
      <c r="BG168" t="s">
        <v>288</v>
      </c>
      <c r="BH168" t="s">
        <v>665</v>
      </c>
      <c r="BI168" t="s">
        <v>666</v>
      </c>
      <c r="BJ168" t="s">
        <v>665</v>
      </c>
      <c r="BK168" t="s">
        <v>207</v>
      </c>
      <c r="BQ168">
        <v>1</v>
      </c>
      <c r="BS168" t="s">
        <v>624</v>
      </c>
    </row>
    <row r="169" spans="1:71" x14ac:dyDescent="0.2">
      <c r="A169" t="s">
        <v>859</v>
      </c>
      <c r="B169" t="s">
        <v>211</v>
      </c>
      <c r="E169" t="str">
        <f>_xlfn.CONCAT(projectMetadata!$D$8,"_",sampleMetadata!A169)</f>
        <v>CROP_2024_1307</v>
      </c>
      <c r="F169" t="str">
        <f t="shared" si="7"/>
        <v>1307</v>
      </c>
      <c r="H169" t="s">
        <v>882</v>
      </c>
      <c r="J169">
        <v>-0.81746413220000003</v>
      </c>
      <c r="K169">
        <v>54.304683900500002</v>
      </c>
      <c r="P169" t="s">
        <v>693</v>
      </c>
      <c r="Q169" s="7">
        <v>45537.475694444445</v>
      </c>
      <c r="R169" t="s">
        <v>663</v>
      </c>
      <c r="U169" t="s">
        <v>886</v>
      </c>
      <c r="V169" t="s">
        <v>664</v>
      </c>
      <c r="W169" t="s">
        <v>887</v>
      </c>
      <c r="X169" t="s">
        <v>207</v>
      </c>
      <c r="Y169" t="s">
        <v>883</v>
      </c>
      <c r="Z169" t="s">
        <v>884</v>
      </c>
      <c r="AA169">
        <v>2000</v>
      </c>
      <c r="AB169" t="s">
        <v>239</v>
      </c>
      <c r="AC169">
        <v>10</v>
      </c>
      <c r="AD169" t="s">
        <v>254</v>
      </c>
      <c r="AE169" t="s">
        <v>885</v>
      </c>
      <c r="AP169">
        <v>0.45</v>
      </c>
      <c r="AS169" t="s">
        <v>267</v>
      </c>
      <c r="AT169" t="s">
        <v>888</v>
      </c>
      <c r="AY169">
        <v>-18</v>
      </c>
      <c r="BF169" t="s">
        <v>283</v>
      </c>
      <c r="BG169" t="s">
        <v>288</v>
      </c>
      <c r="BH169" t="s">
        <v>665</v>
      </c>
      <c r="BI169" t="s">
        <v>666</v>
      </c>
      <c r="BJ169" t="s">
        <v>665</v>
      </c>
      <c r="BK169" t="s">
        <v>207</v>
      </c>
      <c r="BQ169">
        <v>1</v>
      </c>
      <c r="BS169" t="s">
        <v>624</v>
      </c>
    </row>
    <row r="170" spans="1:71" x14ac:dyDescent="0.2">
      <c r="A170" t="s">
        <v>860</v>
      </c>
      <c r="B170" t="s">
        <v>211</v>
      </c>
      <c r="E170" t="str">
        <f>_xlfn.CONCAT(projectMetadata!$D$8,"_",sampleMetadata!A170)</f>
        <v>CROP_2024_1308</v>
      </c>
      <c r="F170" t="str">
        <f t="shared" si="7"/>
        <v>1308</v>
      </c>
      <c r="H170" t="s">
        <v>882</v>
      </c>
      <c r="J170">
        <v>-0.81789849059999997</v>
      </c>
      <c r="K170">
        <v>54.3045943399</v>
      </c>
      <c r="P170" t="s">
        <v>693</v>
      </c>
      <c r="Q170" s="7">
        <v>45537.472222222219</v>
      </c>
      <c r="R170" t="s">
        <v>663</v>
      </c>
      <c r="U170" t="s">
        <v>886</v>
      </c>
      <c r="V170" t="s">
        <v>664</v>
      </c>
      <c r="W170" t="s">
        <v>887</v>
      </c>
      <c r="X170" t="s">
        <v>207</v>
      </c>
      <c r="Y170" t="s">
        <v>883</v>
      </c>
      <c r="Z170" t="s">
        <v>884</v>
      </c>
      <c r="AA170">
        <v>2000</v>
      </c>
      <c r="AB170" t="s">
        <v>239</v>
      </c>
      <c r="AC170">
        <v>10</v>
      </c>
      <c r="AD170" t="s">
        <v>254</v>
      </c>
      <c r="AE170" t="s">
        <v>885</v>
      </c>
      <c r="AP170">
        <v>0.45</v>
      </c>
      <c r="AS170" t="s">
        <v>267</v>
      </c>
      <c r="AT170" t="s">
        <v>888</v>
      </c>
      <c r="AY170">
        <v>-18</v>
      </c>
      <c r="BF170" t="s">
        <v>283</v>
      </c>
      <c r="BG170" t="s">
        <v>288</v>
      </c>
      <c r="BH170" t="s">
        <v>665</v>
      </c>
      <c r="BI170" t="s">
        <v>666</v>
      </c>
      <c r="BJ170" t="s">
        <v>665</v>
      </c>
      <c r="BK170" t="s">
        <v>207</v>
      </c>
      <c r="BQ170">
        <v>1</v>
      </c>
      <c r="BS170" t="s">
        <v>624</v>
      </c>
    </row>
    <row r="171" spans="1:71" x14ac:dyDescent="0.2">
      <c r="A171" t="s">
        <v>861</v>
      </c>
      <c r="B171" t="s">
        <v>211</v>
      </c>
      <c r="E171" t="str">
        <f>_xlfn.CONCAT(projectMetadata!$D$8,"_",sampleMetadata!A171)</f>
        <v>CROP_2024_1309</v>
      </c>
      <c r="F171" t="str">
        <f t="shared" si="7"/>
        <v>1309</v>
      </c>
      <c r="H171" t="s">
        <v>882</v>
      </c>
      <c r="J171">
        <v>-0.81844388800000001</v>
      </c>
      <c r="K171">
        <v>54.304359957000003</v>
      </c>
      <c r="P171" t="s">
        <v>693</v>
      </c>
      <c r="Q171" s="7">
        <v>45537.46875</v>
      </c>
      <c r="R171" t="s">
        <v>663</v>
      </c>
      <c r="U171" t="s">
        <v>886</v>
      </c>
      <c r="V171" t="s">
        <v>664</v>
      </c>
      <c r="W171" t="s">
        <v>887</v>
      </c>
      <c r="X171" t="s">
        <v>207</v>
      </c>
      <c r="Y171" t="s">
        <v>883</v>
      </c>
      <c r="Z171" t="s">
        <v>884</v>
      </c>
      <c r="AA171">
        <v>2000</v>
      </c>
      <c r="AB171" t="s">
        <v>239</v>
      </c>
      <c r="AC171">
        <v>10</v>
      </c>
      <c r="AD171" t="s">
        <v>254</v>
      </c>
      <c r="AE171" t="s">
        <v>885</v>
      </c>
      <c r="AP171">
        <v>0.45</v>
      </c>
      <c r="AS171" t="s">
        <v>267</v>
      </c>
      <c r="AT171" t="s">
        <v>888</v>
      </c>
      <c r="AY171">
        <v>-18</v>
      </c>
      <c r="BF171" t="s">
        <v>283</v>
      </c>
      <c r="BG171" t="s">
        <v>288</v>
      </c>
      <c r="BH171" t="s">
        <v>665</v>
      </c>
      <c r="BI171" t="s">
        <v>666</v>
      </c>
      <c r="BJ171" t="s">
        <v>665</v>
      </c>
      <c r="BK171" t="s">
        <v>207</v>
      </c>
      <c r="BQ171">
        <v>1</v>
      </c>
      <c r="BS171" t="s">
        <v>624</v>
      </c>
    </row>
    <row r="172" spans="1:71" x14ac:dyDescent="0.2">
      <c r="A172" t="s">
        <v>862</v>
      </c>
      <c r="B172" t="s">
        <v>211</v>
      </c>
      <c r="E172" t="str">
        <f>_xlfn.CONCAT(projectMetadata!$D$8,"_",sampleMetadata!A172)</f>
        <v>CROP_2024_1310</v>
      </c>
      <c r="F172" t="str">
        <f t="shared" si="7"/>
        <v>1310</v>
      </c>
      <c r="H172" t="s">
        <v>882</v>
      </c>
      <c r="J172">
        <v>-0.81895989270000003</v>
      </c>
      <c r="K172">
        <v>54.304236095500002</v>
      </c>
      <c r="P172" t="s">
        <v>693</v>
      </c>
      <c r="Q172" s="7">
        <v>45537.461805555555</v>
      </c>
      <c r="R172" t="s">
        <v>663</v>
      </c>
      <c r="U172" t="s">
        <v>886</v>
      </c>
      <c r="V172" t="s">
        <v>664</v>
      </c>
      <c r="W172" t="s">
        <v>887</v>
      </c>
      <c r="X172" t="s">
        <v>207</v>
      </c>
      <c r="Y172" t="s">
        <v>883</v>
      </c>
      <c r="Z172" t="s">
        <v>884</v>
      </c>
      <c r="AA172">
        <v>2000</v>
      </c>
      <c r="AB172" t="s">
        <v>239</v>
      </c>
      <c r="AC172">
        <v>10</v>
      </c>
      <c r="AD172" t="s">
        <v>254</v>
      </c>
      <c r="AE172" t="s">
        <v>885</v>
      </c>
      <c r="AP172">
        <v>0.45</v>
      </c>
      <c r="AS172" t="s">
        <v>267</v>
      </c>
      <c r="AT172" t="s">
        <v>888</v>
      </c>
      <c r="AY172">
        <v>-18</v>
      </c>
      <c r="BF172" t="s">
        <v>283</v>
      </c>
      <c r="BG172" t="s">
        <v>288</v>
      </c>
      <c r="BH172" t="s">
        <v>665</v>
      </c>
      <c r="BI172" t="s">
        <v>666</v>
      </c>
      <c r="BJ172" t="s">
        <v>665</v>
      </c>
      <c r="BK172" t="s">
        <v>207</v>
      </c>
      <c r="BQ172">
        <v>1</v>
      </c>
      <c r="BS172" t="s">
        <v>624</v>
      </c>
    </row>
    <row r="173" spans="1:71" x14ac:dyDescent="0.2">
      <c r="A173" t="s">
        <v>863</v>
      </c>
      <c r="B173" t="s">
        <v>212</v>
      </c>
      <c r="C173" t="s">
        <v>220</v>
      </c>
      <c r="E173" t="str">
        <f>_xlfn.CONCAT(projectMetadata!$D$8,"_",sampleMetadata!A173)</f>
        <v>CROP_2024_13EB</v>
      </c>
      <c r="F173" t="str">
        <f t="shared" si="7"/>
        <v>13EB</v>
      </c>
      <c r="BF173" t="s">
        <v>283</v>
      </c>
      <c r="BG173" t="s">
        <v>288</v>
      </c>
      <c r="BH173" t="s">
        <v>665</v>
      </c>
      <c r="BI173" t="s">
        <v>666</v>
      </c>
      <c r="BJ173" t="s">
        <v>665</v>
      </c>
      <c r="BK173" t="s">
        <v>207</v>
      </c>
      <c r="BQ173">
        <v>1</v>
      </c>
      <c r="BS173" t="s">
        <v>624</v>
      </c>
    </row>
    <row r="174" spans="1:71" x14ac:dyDescent="0.2">
      <c r="A174" t="s">
        <v>864</v>
      </c>
      <c r="B174" t="s">
        <v>212</v>
      </c>
      <c r="C174" t="s">
        <v>218</v>
      </c>
      <c r="E174" t="str">
        <f>_xlfn.CONCAT(projectMetadata!$D$8,"_",sampleMetadata!A174)</f>
        <v>CROP_2024_13FB</v>
      </c>
      <c r="F174" t="str">
        <f t="shared" si="7"/>
        <v>13FB</v>
      </c>
      <c r="AP174">
        <v>0.45</v>
      </c>
      <c r="AS174" t="s">
        <v>267</v>
      </c>
      <c r="AT174" t="s">
        <v>888</v>
      </c>
      <c r="AY174">
        <v>-18</v>
      </c>
      <c r="BF174" t="s">
        <v>283</v>
      </c>
      <c r="BG174" t="s">
        <v>288</v>
      </c>
      <c r="BH174" t="s">
        <v>665</v>
      </c>
      <c r="BI174" t="s">
        <v>666</v>
      </c>
      <c r="BJ174" t="s">
        <v>665</v>
      </c>
      <c r="BK174" t="s">
        <v>207</v>
      </c>
      <c r="BQ174">
        <v>1</v>
      </c>
      <c r="BS174" t="s">
        <v>624</v>
      </c>
    </row>
    <row r="175" spans="1:71" x14ac:dyDescent="0.2">
      <c r="A175" t="s">
        <v>679</v>
      </c>
      <c r="B175" t="s">
        <v>212</v>
      </c>
      <c r="C175" t="s">
        <v>221</v>
      </c>
      <c r="BQ175">
        <v>1</v>
      </c>
      <c r="BS175" t="s">
        <v>624</v>
      </c>
    </row>
    <row r="176" spans="1:71" x14ac:dyDescent="0.2">
      <c r="A176" t="s">
        <v>680</v>
      </c>
      <c r="B176" t="s">
        <v>212</v>
      </c>
      <c r="C176" t="s">
        <v>221</v>
      </c>
      <c r="BQ176">
        <v>1</v>
      </c>
      <c r="BS176" t="s">
        <v>624</v>
      </c>
    </row>
    <row r="177" spans="1:71" x14ac:dyDescent="0.2">
      <c r="A177" t="s">
        <v>681</v>
      </c>
      <c r="B177" t="s">
        <v>212</v>
      </c>
      <c r="C177" t="s">
        <v>221</v>
      </c>
      <c r="BQ177">
        <v>1</v>
      </c>
      <c r="BS177" t="s">
        <v>624</v>
      </c>
    </row>
    <row r="178" spans="1:71" x14ac:dyDescent="0.2">
      <c r="A178" t="s">
        <v>682</v>
      </c>
      <c r="B178" t="s">
        <v>212</v>
      </c>
      <c r="C178" t="s">
        <v>221</v>
      </c>
      <c r="BQ178">
        <v>1</v>
      </c>
      <c r="BS178" t="s">
        <v>624</v>
      </c>
    </row>
    <row r="179" spans="1:71" x14ac:dyDescent="0.2">
      <c r="A179" t="s">
        <v>683</v>
      </c>
      <c r="B179" t="s">
        <v>212</v>
      </c>
      <c r="C179" t="s">
        <v>221</v>
      </c>
      <c r="BQ179">
        <v>1</v>
      </c>
      <c r="BS179" t="s">
        <v>624</v>
      </c>
    </row>
    <row r="180" spans="1:71" x14ac:dyDescent="0.2">
      <c r="A180" t="s">
        <v>684</v>
      </c>
      <c r="B180" t="s">
        <v>212</v>
      </c>
      <c r="C180" t="s">
        <v>221</v>
      </c>
      <c r="BQ180">
        <v>1</v>
      </c>
      <c r="BS180" t="s">
        <v>624</v>
      </c>
    </row>
    <row r="181" spans="1:71" x14ac:dyDescent="0.2">
      <c r="A181" t="s">
        <v>685</v>
      </c>
      <c r="B181" t="s">
        <v>212</v>
      </c>
      <c r="C181" t="s">
        <v>221</v>
      </c>
      <c r="BQ181">
        <v>1</v>
      </c>
      <c r="BS181" t="s">
        <v>624</v>
      </c>
    </row>
    <row r="182" spans="1:71" x14ac:dyDescent="0.2">
      <c r="A182" t="s">
        <v>658</v>
      </c>
      <c r="B182" t="s">
        <v>212</v>
      </c>
      <c r="C182" t="s">
        <v>221</v>
      </c>
      <c r="BQ182">
        <v>1</v>
      </c>
      <c r="BS182" t="s">
        <v>624</v>
      </c>
    </row>
    <row r="183" spans="1:71" x14ac:dyDescent="0.2">
      <c r="A183" t="s">
        <v>659</v>
      </c>
      <c r="B183" t="s">
        <v>212</v>
      </c>
      <c r="C183" t="s">
        <v>221</v>
      </c>
      <c r="BQ183">
        <v>1</v>
      </c>
      <c r="BS183" t="s">
        <v>624</v>
      </c>
    </row>
    <row r="184" spans="1:71" x14ac:dyDescent="0.2">
      <c r="A184" t="s">
        <v>686</v>
      </c>
      <c r="B184" t="s">
        <v>212</v>
      </c>
      <c r="C184" t="s">
        <v>221</v>
      </c>
      <c r="BQ184">
        <v>1</v>
      </c>
      <c r="BS184" t="s">
        <v>624</v>
      </c>
    </row>
    <row r="185" spans="1:71" x14ac:dyDescent="0.2">
      <c r="A185" t="s">
        <v>687</v>
      </c>
      <c r="B185" t="s">
        <v>213</v>
      </c>
      <c r="D185" t="s">
        <v>662</v>
      </c>
      <c r="BQ185">
        <v>1</v>
      </c>
      <c r="BS185" t="s">
        <v>624</v>
      </c>
    </row>
    <row r="186" spans="1:71" x14ac:dyDescent="0.2">
      <c r="A186" t="s">
        <v>688</v>
      </c>
      <c r="B186" t="s">
        <v>213</v>
      </c>
      <c r="D186" t="s">
        <v>662</v>
      </c>
      <c r="BQ186">
        <v>1</v>
      </c>
      <c r="BS186" t="s">
        <v>624</v>
      </c>
    </row>
    <row r="187" spans="1:71" x14ac:dyDescent="0.2">
      <c r="A187" t="s">
        <v>689</v>
      </c>
      <c r="B187" t="s">
        <v>213</v>
      </c>
      <c r="D187" t="s">
        <v>662</v>
      </c>
      <c r="BQ187">
        <v>1</v>
      </c>
      <c r="BS187" t="s">
        <v>624</v>
      </c>
    </row>
    <row r="188" spans="1:71" x14ac:dyDescent="0.2">
      <c r="A188" t="s">
        <v>690</v>
      </c>
      <c r="B188" t="s">
        <v>213</v>
      </c>
      <c r="D188" t="s">
        <v>662</v>
      </c>
      <c r="BQ188">
        <v>1</v>
      </c>
      <c r="BS188" t="s">
        <v>624</v>
      </c>
    </row>
    <row r="189" spans="1:71" x14ac:dyDescent="0.2">
      <c r="A189" t="s">
        <v>691</v>
      </c>
      <c r="B189" t="s">
        <v>213</v>
      </c>
      <c r="D189" t="s">
        <v>662</v>
      </c>
      <c r="BQ189">
        <v>1</v>
      </c>
      <c r="BS189" t="s">
        <v>624</v>
      </c>
    </row>
    <row r="190" spans="1:71" x14ac:dyDescent="0.2">
      <c r="A190" t="s">
        <v>692</v>
      </c>
      <c r="B190" t="s">
        <v>213</v>
      </c>
      <c r="D190" t="s">
        <v>662</v>
      </c>
      <c r="BQ190">
        <v>1</v>
      </c>
      <c r="BS190" t="s">
        <v>624</v>
      </c>
    </row>
    <row r="191" spans="1:71" x14ac:dyDescent="0.2">
      <c r="A191" t="s">
        <v>660</v>
      </c>
      <c r="B191" t="s">
        <v>213</v>
      </c>
      <c r="D191" t="s">
        <v>662</v>
      </c>
      <c r="BQ191">
        <v>1</v>
      </c>
      <c r="BS191" t="s">
        <v>624</v>
      </c>
    </row>
    <row r="192" spans="1:71" x14ac:dyDescent="0.2">
      <c r="A192" t="s">
        <v>661</v>
      </c>
      <c r="B192" t="s">
        <v>213</v>
      </c>
      <c r="D192" t="s">
        <v>662</v>
      </c>
      <c r="BQ192">
        <v>1</v>
      </c>
      <c r="BS192" t="s">
        <v>624</v>
      </c>
    </row>
  </sheetData>
  <phoneticPr fontId="6" type="noConversion"/>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41">
        <x14:dataValidation type="list" allowBlank="1" showInputMessage="1" xr:uid="{00000000-0002-0000-0300-000002000000}">
          <x14:formula1>
            <xm:f>'Drop-down values'!$E$7:$H$7</xm:f>
          </x14:formula1>
          <xm:sqref>N4:N103</xm:sqref>
        </x14:dataValidation>
        <x14:dataValidation type="list" allowBlank="1" showInputMessage="1" xr:uid="{00000000-0002-0000-0300-000003000000}">
          <x14:formula1>
            <xm:f>'Drop-down values'!$E$8:$L$8</xm:f>
          </x14:formula1>
          <xm:sqref>O4:O103</xm:sqref>
        </x14:dataValidation>
        <x14:dataValidation type="list" allowBlank="1" showInputMessage="1" xr:uid="{00000000-0002-0000-0300-000004000000}">
          <x14:formula1>
            <xm:f>'Drop-down values'!$E$9:$F$9</xm:f>
          </x14:formula1>
          <xm:sqref>X151:X160 X135:X149 X111:X120 X123:X132 X163:X172 X104:X109 X4:X102</xm:sqref>
        </x14:dataValidation>
        <x14:dataValidation type="list" allowBlank="1" showInputMessage="1" xr:uid="{00000000-0002-0000-0300-000005000000}">
          <x14:formula1>
            <xm:f>'Drop-down values'!$E$10:$N$10</xm:f>
          </x14:formula1>
          <xm:sqref>AB4:AB174</xm:sqref>
        </x14:dataValidation>
        <x14:dataValidation type="list" allowBlank="1" showInputMessage="1" xr:uid="{00000000-0002-0000-0300-000006000000}">
          <x14:formula1>
            <xm:f>'Drop-down values'!$E$11:$J$11</xm:f>
          </x14:formula1>
          <xm:sqref>AD4:AD174</xm:sqref>
        </x14:dataValidation>
        <x14:dataValidation type="list" allowBlank="1" showInputMessage="1" xr:uid="{00000000-0002-0000-0300-000007000000}">
          <x14:formula1>
            <xm:f>'Drop-down values'!$E$12:$F$12</xm:f>
          </x14:formula1>
          <xm:sqref>AJ4:AJ103</xm:sqref>
        </x14:dataValidation>
        <x14:dataValidation type="list" allowBlank="1" showInputMessage="1" xr:uid="{00000000-0002-0000-0300-000008000000}">
          <x14:formula1>
            <xm:f>'Drop-down values'!$E$13:$K$13</xm:f>
          </x14:formula1>
          <xm:sqref>AM4:AM103</xm:sqref>
        </x14:dataValidation>
        <x14:dataValidation type="list" allowBlank="1" showInputMessage="1" xr:uid="{00000000-0002-0000-0300-000009000000}">
          <x14:formula1>
            <xm:f>'Drop-down values'!$E$14:$L$14</xm:f>
          </x14:formula1>
          <xm:sqref>AS4:AS174</xm:sqref>
        </x14:dataValidation>
        <x14:dataValidation type="list" allowBlank="1" showInputMessage="1" xr:uid="{00000000-0002-0000-0300-00000A000000}">
          <x14:formula1>
            <xm:f>'Drop-down values'!$E$15:$H$15</xm:f>
          </x14:formula1>
          <xm:sqref>AU4:AU103</xm:sqref>
        </x14:dataValidation>
        <x14:dataValidation type="list" allowBlank="1" showInputMessage="1" xr:uid="{00000000-0002-0000-0300-00000B000000}">
          <x14:formula1>
            <xm:f>'Drop-down values'!$E$16:$J$16</xm:f>
          </x14:formula1>
          <xm:sqref>AZ4:AZ103</xm:sqref>
        </x14:dataValidation>
        <x14:dataValidation type="list" allowBlank="1" showInputMessage="1" xr:uid="{00000000-0002-0000-0300-00000C000000}">
          <x14:formula1>
            <xm:f>'Drop-down values'!$E$17:$N$17</xm:f>
          </x14:formula1>
          <xm:sqref>BE4:BE103</xm:sqref>
        </x14:dataValidation>
        <x14:dataValidation type="list" allowBlank="1" showInputMessage="1" xr:uid="{00000000-0002-0000-0300-00000D000000}">
          <x14:formula1>
            <xm:f>'Drop-down values'!$E$18:$J$18</xm:f>
          </x14:formula1>
          <xm:sqref>BF4:BF174</xm:sqref>
        </x14:dataValidation>
        <x14:dataValidation type="list" allowBlank="1" showInputMessage="1" xr:uid="{00000000-0002-0000-0300-00000E000000}">
          <x14:formula1>
            <xm:f>'Drop-down values'!$E$19:$K$19</xm:f>
          </x14:formula1>
          <xm:sqref>BG4:BG174</xm:sqref>
        </x14:dataValidation>
        <x14:dataValidation type="list" allowBlank="1" showInputMessage="1" xr:uid="{00000000-0002-0000-0300-00000F000000}">
          <x14:formula1>
            <xm:f>'Drop-down values'!$E$20:$F$20</xm:f>
          </x14:formula1>
          <xm:sqref>BK4:BK174</xm:sqref>
        </x14:dataValidation>
        <x14:dataValidation type="list" allowBlank="1" showInputMessage="1" xr:uid="{00000000-0002-0000-0300-000010000000}">
          <x14:formula1>
            <xm:f>'Drop-down values'!$E$21:$G$21</xm:f>
          </x14:formula1>
          <xm:sqref>BN4:BN174</xm:sqref>
        </x14:dataValidation>
        <x14:dataValidation type="list" allowBlank="1" showInputMessage="1" xr:uid="{00000000-0002-0000-0300-000011000000}">
          <x14:formula1>
            <xm:f>'Drop-down values'!$E$36:$F$36</xm:f>
          </x14:formula1>
          <xm:sqref>BT4:BT103</xm:sqref>
        </x14:dataValidation>
        <x14:dataValidation type="list" allowBlank="1" showInputMessage="1" xr:uid="{00000000-0002-0000-0300-000012000000}">
          <x14:formula1>
            <xm:f>'Drop-down values'!$E$46:$H$46</xm:f>
          </x14:formula1>
          <xm:sqref>CR4:CR103</xm:sqref>
        </x14:dataValidation>
        <x14:dataValidation type="list" allowBlank="1" showInputMessage="1" xr:uid="{00000000-0002-0000-0300-000013000000}">
          <x14:formula1>
            <xm:f>'Drop-down values'!$E$47:$H$47</xm:f>
          </x14:formula1>
          <xm:sqref>CT4:CT103</xm:sqref>
        </x14:dataValidation>
        <x14:dataValidation type="list" allowBlank="1" showInputMessage="1" xr:uid="{00000000-0002-0000-0300-000014000000}">
          <x14:formula1>
            <xm:f>'Drop-down values'!$E$48:$H$48</xm:f>
          </x14:formula1>
          <xm:sqref>CV4:CV103</xm:sqref>
        </x14:dataValidation>
        <x14:dataValidation type="list" allowBlank="1" showInputMessage="1" xr:uid="{00000000-0002-0000-0300-000015000000}">
          <x14:formula1>
            <xm:f>'Drop-down values'!$E$49:$Q$49</xm:f>
          </x14:formula1>
          <xm:sqref>CX4:CX103</xm:sqref>
        </x14:dataValidation>
        <x14:dataValidation type="list" allowBlank="1" showInputMessage="1" xr:uid="{00000000-0002-0000-0300-000016000000}">
          <x14:formula1>
            <xm:f>'Drop-down values'!$E$50:$Q$50</xm:f>
          </x14:formula1>
          <xm:sqref>CZ4:CZ103</xm:sqref>
        </x14:dataValidation>
        <x14:dataValidation type="list" allowBlank="1" showInputMessage="1" xr:uid="{00000000-0002-0000-0300-000017000000}">
          <x14:formula1>
            <xm:f>'Drop-down values'!$E$51:$Q$51</xm:f>
          </x14:formula1>
          <xm:sqref>DB4:DB103</xm:sqref>
        </x14:dataValidation>
        <x14:dataValidation type="list" allowBlank="1" showInputMessage="1" xr:uid="{00000000-0002-0000-0300-000018000000}">
          <x14:formula1>
            <xm:f>'Drop-down values'!$E$52:$Q$52</xm:f>
          </x14:formula1>
          <xm:sqref>DD4:DD103</xm:sqref>
        </x14:dataValidation>
        <x14:dataValidation type="list" allowBlank="1" showInputMessage="1" xr:uid="{00000000-0002-0000-0300-000019000000}">
          <x14:formula1>
            <xm:f>'Drop-down values'!$E$53:$S$53</xm:f>
          </x14:formula1>
          <xm:sqref>DF4:DF103</xm:sqref>
        </x14:dataValidation>
        <x14:dataValidation type="list" allowBlank="1" showInputMessage="1" xr:uid="{00000000-0002-0000-0300-00001A000000}">
          <x14:formula1>
            <xm:f>'Drop-down values'!$E$54:$Q$54</xm:f>
          </x14:formula1>
          <xm:sqref>DH4:DH103</xm:sqref>
        </x14:dataValidation>
        <x14:dataValidation type="list" allowBlank="1" showInputMessage="1" xr:uid="{00000000-0002-0000-0300-00001B000000}">
          <x14:formula1>
            <xm:f>'Drop-down values'!$E$55:$Q$55</xm:f>
          </x14:formula1>
          <xm:sqref>DJ4:DJ103</xm:sqref>
        </x14:dataValidation>
        <x14:dataValidation type="list" allowBlank="1" showInputMessage="1" xr:uid="{00000000-0002-0000-0300-00001C000000}">
          <x14:formula1>
            <xm:f>'Drop-down values'!$E$56:$Q$56</xm:f>
          </x14:formula1>
          <xm:sqref>DL4:DL103</xm:sqref>
        </x14:dataValidation>
        <x14:dataValidation type="list" allowBlank="1" showInputMessage="1" xr:uid="{00000000-0002-0000-0300-00001D000000}">
          <x14:formula1>
            <xm:f>'Drop-down values'!$E$57:$Q$57</xm:f>
          </x14:formula1>
          <xm:sqref>DN4:DN103</xm:sqref>
        </x14:dataValidation>
        <x14:dataValidation type="list" allowBlank="1" showInputMessage="1" xr:uid="{00000000-0002-0000-0300-00001E000000}">
          <x14:formula1>
            <xm:f>'Drop-down values'!$E$58:$Q$58</xm:f>
          </x14:formula1>
          <xm:sqref>DP4:DP103</xm:sqref>
        </x14:dataValidation>
        <x14:dataValidation type="list" allowBlank="1" showInputMessage="1" xr:uid="{00000000-0002-0000-0300-00001F000000}">
          <x14:formula1>
            <xm:f>'Drop-down values'!$E$59:$Q$59</xm:f>
          </x14:formula1>
          <xm:sqref>DS4:DS103</xm:sqref>
        </x14:dataValidation>
        <x14:dataValidation type="list" allowBlank="1" showInputMessage="1" xr:uid="{00000000-0002-0000-0300-000020000000}">
          <x14:formula1>
            <xm:f>'Drop-down values'!$E$60:$Q$60</xm:f>
          </x14:formula1>
          <xm:sqref>DV4:DV103</xm:sqref>
        </x14:dataValidation>
        <x14:dataValidation type="list" allowBlank="1" showInputMessage="1" xr:uid="{00000000-0002-0000-0300-000021000000}">
          <x14:formula1>
            <xm:f>'Drop-down values'!$E$61:$Q$61</xm:f>
          </x14:formula1>
          <xm:sqref>DX4:DX103</xm:sqref>
        </x14:dataValidation>
        <x14:dataValidation type="list" allowBlank="1" showInputMessage="1" xr:uid="{00000000-0002-0000-0300-000022000000}">
          <x14:formula1>
            <xm:f>'Drop-down values'!$E$62:$Q$62</xm:f>
          </x14:formula1>
          <xm:sqref>DZ4:DZ103</xm:sqref>
        </x14:dataValidation>
        <x14:dataValidation type="list" allowBlank="1" showInputMessage="1" xr:uid="{00000000-0002-0000-0300-000023000000}">
          <x14:formula1>
            <xm:f>'Drop-down values'!$E$63:$Q$63</xm:f>
          </x14:formula1>
          <xm:sqref>EB4:EB103</xm:sqref>
        </x14:dataValidation>
        <x14:dataValidation type="list" allowBlank="1" showInputMessage="1" xr:uid="{00000000-0002-0000-0300-000024000000}">
          <x14:formula1>
            <xm:f>'Drop-down values'!$E$64:$Q$64</xm:f>
          </x14:formula1>
          <xm:sqref>ED4:ED103</xm:sqref>
        </x14:dataValidation>
        <x14:dataValidation type="list" allowBlank="1" showInputMessage="1" xr:uid="{00000000-0002-0000-0300-000025000000}">
          <x14:formula1>
            <xm:f>'Drop-down values'!$E$65:$Q$65</xm:f>
          </x14:formula1>
          <xm:sqref>EF4:EF103</xm:sqref>
        </x14:dataValidation>
        <x14:dataValidation type="list" allowBlank="1" showInputMessage="1" xr:uid="{00000000-0002-0000-0300-000026000000}">
          <x14:formula1>
            <xm:f>'Drop-down values'!$E$66:$Q$66</xm:f>
          </x14:formula1>
          <xm:sqref>EH4:EH103</xm:sqref>
        </x14:dataValidation>
        <x14:dataValidation type="list" allowBlank="1" showInputMessage="1" xr:uid="{00000000-0002-0000-0300-000027000000}">
          <x14:formula1>
            <xm:f>'Drop-down values'!$E$67:$Q$67</xm:f>
          </x14:formula1>
          <xm:sqref>EJ4:EJ103</xm:sqref>
        </x14:dataValidation>
        <x14:dataValidation type="list" allowBlank="1" showInputMessage="1" xr:uid="{00000000-0002-0000-0300-000028000000}">
          <x14:formula1>
            <xm:f>'Drop-down values'!$E$68:$Q$68</xm:f>
          </x14:formula1>
          <xm:sqref>EL4:EL103</xm:sqref>
        </x14:dataValidation>
        <x14:dataValidation type="list" allowBlank="1" showInputMessage="1" xr:uid="{00000000-0002-0000-0300-000001000000}">
          <x14:formula1>
            <xm:f>'Drop-down values'!$E$6:$J$6</xm:f>
          </x14:formula1>
          <xm:sqref>C69:C70 C109:C110 C161:C162 C149:C150 C133:C134 C121:C122 C75:C103 C4:C58 C173:C192</xm:sqref>
        </x14:dataValidation>
        <x14:dataValidation type="list" allowBlank="1" showInputMessage="1" xr:uid="{00000000-0002-0000-0300-000000000000}">
          <x14:formula1>
            <xm:f>'Drop-down values'!$E$5:$I$5</xm:f>
          </x14:formula1>
          <xm:sqref>B4:B192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92"/>
  <sheetViews>
    <sheetView workbookViewId="0">
      <selection activeCell="C194" sqref="C194"/>
    </sheetView>
  </sheetViews>
  <sheetFormatPr baseColWidth="10" defaultRowHeight="15" x14ac:dyDescent="0.2"/>
  <sheetData>
    <row r="1" spans="1:11" x14ac:dyDescent="0.2">
      <c r="A1" t="s">
        <v>462</v>
      </c>
      <c r="B1" s="1" t="s">
        <v>15</v>
      </c>
      <c r="C1" s="1" t="s">
        <v>15</v>
      </c>
      <c r="D1" s="1" t="s">
        <v>15</v>
      </c>
      <c r="E1" s="1" t="s">
        <v>15</v>
      </c>
      <c r="F1" s="4" t="s">
        <v>25</v>
      </c>
      <c r="G1" s="3" t="s">
        <v>18</v>
      </c>
      <c r="H1" s="3" t="s">
        <v>18</v>
      </c>
      <c r="I1" s="3" t="s">
        <v>18</v>
      </c>
      <c r="J1" s="3" t="s">
        <v>18</v>
      </c>
      <c r="K1" s="3" t="s">
        <v>18</v>
      </c>
    </row>
    <row r="2" spans="1:11" x14ac:dyDescent="0.2">
      <c r="A2" t="s">
        <v>463</v>
      </c>
      <c r="B2" t="s">
        <v>46</v>
      </c>
      <c r="C2" t="s">
        <v>46</v>
      </c>
      <c r="D2" t="s">
        <v>46</v>
      </c>
      <c r="E2" t="s">
        <v>87</v>
      </c>
      <c r="F2" t="s">
        <v>87</v>
      </c>
      <c r="G2" t="s">
        <v>87</v>
      </c>
      <c r="H2" t="s">
        <v>87</v>
      </c>
      <c r="I2" t="s">
        <v>87</v>
      </c>
      <c r="J2" t="s">
        <v>87</v>
      </c>
      <c r="K2" t="s">
        <v>87</v>
      </c>
    </row>
    <row r="3" spans="1:11" x14ac:dyDescent="0.2">
      <c r="A3" s="5" t="s">
        <v>470</v>
      </c>
      <c r="B3" s="5" t="s">
        <v>570</v>
      </c>
      <c r="C3" s="5" t="s">
        <v>51</v>
      </c>
      <c r="D3" s="5" t="s">
        <v>571</v>
      </c>
      <c r="E3" s="5" t="s">
        <v>572</v>
      </c>
      <c r="F3" s="5" t="s">
        <v>573</v>
      </c>
      <c r="G3" s="5" t="s">
        <v>355</v>
      </c>
      <c r="H3" s="5" t="s">
        <v>574</v>
      </c>
      <c r="I3" s="5" t="s">
        <v>361</v>
      </c>
      <c r="J3" s="5" t="s">
        <v>575</v>
      </c>
      <c r="K3" s="5" t="s">
        <v>362</v>
      </c>
    </row>
    <row r="4" spans="1:11" x14ac:dyDescent="0.2">
      <c r="A4" t="s">
        <v>694</v>
      </c>
      <c r="B4">
        <v>1</v>
      </c>
      <c r="C4" t="s">
        <v>624</v>
      </c>
    </row>
    <row r="5" spans="1:11" x14ac:dyDescent="0.2">
      <c r="A5" t="s">
        <v>695</v>
      </c>
      <c r="B5">
        <v>1</v>
      </c>
      <c r="C5" t="s">
        <v>624</v>
      </c>
    </row>
    <row r="6" spans="1:11" x14ac:dyDescent="0.2">
      <c r="A6" t="s">
        <v>696</v>
      </c>
      <c r="B6">
        <v>1</v>
      </c>
      <c r="C6" t="s">
        <v>624</v>
      </c>
    </row>
    <row r="7" spans="1:11" x14ac:dyDescent="0.2">
      <c r="A7" t="s">
        <v>697</v>
      </c>
      <c r="B7">
        <v>1</v>
      </c>
      <c r="C7" t="s">
        <v>624</v>
      </c>
    </row>
    <row r="8" spans="1:11" x14ac:dyDescent="0.2">
      <c r="A8" t="s">
        <v>698</v>
      </c>
      <c r="B8">
        <v>1</v>
      </c>
      <c r="C8" t="s">
        <v>624</v>
      </c>
    </row>
    <row r="9" spans="1:11" x14ac:dyDescent="0.2">
      <c r="A9" t="s">
        <v>699</v>
      </c>
      <c r="B9">
        <v>1</v>
      </c>
      <c r="C9" t="s">
        <v>624</v>
      </c>
    </row>
    <row r="10" spans="1:11" x14ac:dyDescent="0.2">
      <c r="A10" t="s">
        <v>700</v>
      </c>
      <c r="B10">
        <v>1</v>
      </c>
      <c r="C10" t="s">
        <v>624</v>
      </c>
    </row>
    <row r="11" spans="1:11" x14ac:dyDescent="0.2">
      <c r="A11" t="s">
        <v>701</v>
      </c>
      <c r="B11">
        <v>1</v>
      </c>
      <c r="C11" t="s">
        <v>624</v>
      </c>
    </row>
    <row r="12" spans="1:11" x14ac:dyDescent="0.2">
      <c r="A12" t="s">
        <v>702</v>
      </c>
      <c r="B12">
        <v>1</v>
      </c>
      <c r="C12" t="s">
        <v>624</v>
      </c>
    </row>
    <row r="13" spans="1:11" x14ac:dyDescent="0.2">
      <c r="A13" t="s">
        <v>703</v>
      </c>
      <c r="B13">
        <v>1</v>
      </c>
      <c r="C13" t="s">
        <v>624</v>
      </c>
    </row>
    <row r="14" spans="1:11" x14ac:dyDescent="0.2">
      <c r="A14" t="s">
        <v>704</v>
      </c>
      <c r="B14">
        <v>1</v>
      </c>
      <c r="C14" t="s">
        <v>624</v>
      </c>
    </row>
    <row r="15" spans="1:11" x14ac:dyDescent="0.2">
      <c r="A15" t="s">
        <v>705</v>
      </c>
      <c r="B15">
        <v>1</v>
      </c>
      <c r="C15" t="s">
        <v>624</v>
      </c>
    </row>
    <row r="16" spans="1:11" x14ac:dyDescent="0.2">
      <c r="A16" t="s">
        <v>706</v>
      </c>
      <c r="B16">
        <v>1</v>
      </c>
      <c r="C16" t="s">
        <v>624</v>
      </c>
    </row>
    <row r="17" spans="1:3" x14ac:dyDescent="0.2">
      <c r="A17" t="s">
        <v>707</v>
      </c>
      <c r="B17">
        <v>1</v>
      </c>
      <c r="C17" t="s">
        <v>624</v>
      </c>
    </row>
    <row r="18" spans="1:3" x14ac:dyDescent="0.2">
      <c r="A18" t="s">
        <v>708</v>
      </c>
      <c r="B18">
        <v>1</v>
      </c>
      <c r="C18" t="s">
        <v>624</v>
      </c>
    </row>
    <row r="19" spans="1:3" x14ac:dyDescent="0.2">
      <c r="A19" t="s">
        <v>709</v>
      </c>
      <c r="B19">
        <v>1</v>
      </c>
      <c r="C19" t="s">
        <v>624</v>
      </c>
    </row>
    <row r="20" spans="1:3" x14ac:dyDescent="0.2">
      <c r="A20" t="s">
        <v>710</v>
      </c>
      <c r="B20">
        <v>1</v>
      </c>
      <c r="C20" t="s">
        <v>624</v>
      </c>
    </row>
    <row r="21" spans="1:3" x14ac:dyDescent="0.2">
      <c r="A21" t="s">
        <v>711</v>
      </c>
      <c r="B21">
        <v>1</v>
      </c>
      <c r="C21" t="s">
        <v>624</v>
      </c>
    </row>
    <row r="22" spans="1:3" x14ac:dyDescent="0.2">
      <c r="A22" t="s">
        <v>712</v>
      </c>
      <c r="B22">
        <v>1</v>
      </c>
      <c r="C22" t="s">
        <v>624</v>
      </c>
    </row>
    <row r="23" spans="1:3" x14ac:dyDescent="0.2">
      <c r="A23" t="s">
        <v>713</v>
      </c>
      <c r="B23">
        <v>1</v>
      </c>
      <c r="C23" t="s">
        <v>624</v>
      </c>
    </row>
    <row r="24" spans="1:3" x14ac:dyDescent="0.2">
      <c r="A24" t="s">
        <v>714</v>
      </c>
      <c r="B24">
        <v>1</v>
      </c>
      <c r="C24" t="s">
        <v>624</v>
      </c>
    </row>
    <row r="25" spans="1:3" x14ac:dyDescent="0.2">
      <c r="A25" t="s">
        <v>715</v>
      </c>
      <c r="B25">
        <v>1</v>
      </c>
      <c r="C25" t="s">
        <v>624</v>
      </c>
    </row>
    <row r="26" spans="1:3" x14ac:dyDescent="0.2">
      <c r="A26" t="s">
        <v>716</v>
      </c>
      <c r="B26">
        <v>1</v>
      </c>
      <c r="C26" t="s">
        <v>624</v>
      </c>
    </row>
    <row r="27" spans="1:3" x14ac:dyDescent="0.2">
      <c r="A27" t="s">
        <v>717</v>
      </c>
      <c r="B27">
        <v>1</v>
      </c>
      <c r="C27" t="s">
        <v>624</v>
      </c>
    </row>
    <row r="28" spans="1:3" x14ac:dyDescent="0.2">
      <c r="A28" t="s">
        <v>718</v>
      </c>
      <c r="B28">
        <v>1</v>
      </c>
      <c r="C28" t="s">
        <v>624</v>
      </c>
    </row>
    <row r="29" spans="1:3" x14ac:dyDescent="0.2">
      <c r="A29" t="s">
        <v>719</v>
      </c>
      <c r="B29">
        <v>1</v>
      </c>
      <c r="C29" t="s">
        <v>624</v>
      </c>
    </row>
    <row r="30" spans="1:3" x14ac:dyDescent="0.2">
      <c r="A30" t="s">
        <v>720</v>
      </c>
      <c r="B30">
        <v>1</v>
      </c>
      <c r="C30" t="s">
        <v>624</v>
      </c>
    </row>
    <row r="31" spans="1:3" x14ac:dyDescent="0.2">
      <c r="A31" t="s">
        <v>721</v>
      </c>
      <c r="B31">
        <v>1</v>
      </c>
      <c r="C31" t="s">
        <v>624</v>
      </c>
    </row>
    <row r="32" spans="1:3" x14ac:dyDescent="0.2">
      <c r="A32" t="s">
        <v>722</v>
      </c>
      <c r="B32">
        <v>1</v>
      </c>
      <c r="C32" t="s">
        <v>624</v>
      </c>
    </row>
    <row r="33" spans="1:3" x14ac:dyDescent="0.2">
      <c r="A33" t="s">
        <v>723</v>
      </c>
      <c r="B33">
        <v>1</v>
      </c>
      <c r="C33" t="s">
        <v>624</v>
      </c>
    </row>
    <row r="34" spans="1:3" x14ac:dyDescent="0.2">
      <c r="A34" t="s">
        <v>724</v>
      </c>
      <c r="B34">
        <v>1</v>
      </c>
      <c r="C34" t="s">
        <v>624</v>
      </c>
    </row>
    <row r="35" spans="1:3" x14ac:dyDescent="0.2">
      <c r="A35" t="s">
        <v>725</v>
      </c>
      <c r="B35">
        <v>1</v>
      </c>
      <c r="C35" t="s">
        <v>624</v>
      </c>
    </row>
    <row r="36" spans="1:3" x14ac:dyDescent="0.2">
      <c r="A36" t="s">
        <v>726</v>
      </c>
      <c r="B36">
        <v>1</v>
      </c>
      <c r="C36" t="s">
        <v>624</v>
      </c>
    </row>
    <row r="37" spans="1:3" x14ac:dyDescent="0.2">
      <c r="A37" t="s">
        <v>727</v>
      </c>
      <c r="B37">
        <v>1</v>
      </c>
      <c r="C37" t="s">
        <v>624</v>
      </c>
    </row>
    <row r="38" spans="1:3" x14ac:dyDescent="0.2">
      <c r="A38" t="s">
        <v>728</v>
      </c>
      <c r="B38">
        <v>1</v>
      </c>
      <c r="C38" t="s">
        <v>624</v>
      </c>
    </row>
    <row r="39" spans="1:3" x14ac:dyDescent="0.2">
      <c r="A39" t="s">
        <v>729</v>
      </c>
      <c r="B39">
        <v>1</v>
      </c>
      <c r="C39" t="s">
        <v>624</v>
      </c>
    </row>
    <row r="40" spans="1:3" x14ac:dyDescent="0.2">
      <c r="A40" t="s">
        <v>730</v>
      </c>
      <c r="B40">
        <v>1</v>
      </c>
      <c r="C40" t="s">
        <v>624</v>
      </c>
    </row>
    <row r="41" spans="1:3" x14ac:dyDescent="0.2">
      <c r="A41" t="s">
        <v>731</v>
      </c>
      <c r="B41">
        <v>1</v>
      </c>
      <c r="C41" t="s">
        <v>624</v>
      </c>
    </row>
    <row r="42" spans="1:3" x14ac:dyDescent="0.2">
      <c r="A42" t="s">
        <v>732</v>
      </c>
      <c r="B42">
        <v>1</v>
      </c>
      <c r="C42" t="s">
        <v>624</v>
      </c>
    </row>
    <row r="43" spans="1:3" x14ac:dyDescent="0.2">
      <c r="A43" t="s">
        <v>733</v>
      </c>
      <c r="B43">
        <v>1</v>
      </c>
      <c r="C43" t="s">
        <v>624</v>
      </c>
    </row>
    <row r="44" spans="1:3" x14ac:dyDescent="0.2">
      <c r="A44" t="s">
        <v>734</v>
      </c>
      <c r="B44">
        <v>1</v>
      </c>
      <c r="C44" t="s">
        <v>624</v>
      </c>
    </row>
    <row r="45" spans="1:3" x14ac:dyDescent="0.2">
      <c r="A45" t="s">
        <v>735</v>
      </c>
      <c r="B45">
        <v>1</v>
      </c>
      <c r="C45" t="s">
        <v>624</v>
      </c>
    </row>
    <row r="46" spans="1:3" x14ac:dyDescent="0.2">
      <c r="A46" t="s">
        <v>736</v>
      </c>
      <c r="B46">
        <v>1</v>
      </c>
      <c r="C46" t="s">
        <v>624</v>
      </c>
    </row>
    <row r="47" spans="1:3" x14ac:dyDescent="0.2">
      <c r="A47" t="s">
        <v>737</v>
      </c>
      <c r="B47">
        <v>1</v>
      </c>
      <c r="C47" t="s">
        <v>624</v>
      </c>
    </row>
    <row r="48" spans="1:3" x14ac:dyDescent="0.2">
      <c r="A48" t="s">
        <v>738</v>
      </c>
      <c r="B48">
        <v>1</v>
      </c>
      <c r="C48" t="s">
        <v>624</v>
      </c>
    </row>
    <row r="49" spans="1:3" x14ac:dyDescent="0.2">
      <c r="A49" t="s">
        <v>739</v>
      </c>
      <c r="B49">
        <v>1</v>
      </c>
      <c r="C49" t="s">
        <v>624</v>
      </c>
    </row>
    <row r="50" spans="1:3" x14ac:dyDescent="0.2">
      <c r="A50" t="s">
        <v>740</v>
      </c>
      <c r="B50">
        <v>1</v>
      </c>
      <c r="C50" t="s">
        <v>624</v>
      </c>
    </row>
    <row r="51" spans="1:3" x14ac:dyDescent="0.2">
      <c r="A51" t="s">
        <v>741</v>
      </c>
      <c r="B51">
        <v>1</v>
      </c>
      <c r="C51" t="s">
        <v>624</v>
      </c>
    </row>
    <row r="52" spans="1:3" x14ac:dyDescent="0.2">
      <c r="A52" t="s">
        <v>742</v>
      </c>
      <c r="B52">
        <v>1</v>
      </c>
      <c r="C52" t="s">
        <v>624</v>
      </c>
    </row>
    <row r="53" spans="1:3" x14ac:dyDescent="0.2">
      <c r="A53" t="s">
        <v>743</v>
      </c>
      <c r="B53">
        <v>1</v>
      </c>
      <c r="C53" t="s">
        <v>624</v>
      </c>
    </row>
    <row r="54" spans="1:3" x14ac:dyDescent="0.2">
      <c r="A54" t="s">
        <v>744</v>
      </c>
      <c r="B54">
        <v>1</v>
      </c>
      <c r="C54" t="s">
        <v>624</v>
      </c>
    </row>
    <row r="55" spans="1:3" x14ac:dyDescent="0.2">
      <c r="A55" t="s">
        <v>745</v>
      </c>
      <c r="B55">
        <v>1</v>
      </c>
      <c r="C55" t="s">
        <v>624</v>
      </c>
    </row>
    <row r="56" spans="1:3" x14ac:dyDescent="0.2">
      <c r="A56" t="s">
        <v>746</v>
      </c>
      <c r="B56">
        <v>1</v>
      </c>
      <c r="C56" t="s">
        <v>624</v>
      </c>
    </row>
    <row r="57" spans="1:3" x14ac:dyDescent="0.2">
      <c r="A57" t="s">
        <v>747</v>
      </c>
      <c r="B57">
        <v>1</v>
      </c>
      <c r="C57" t="s">
        <v>624</v>
      </c>
    </row>
    <row r="58" spans="1:3" x14ac:dyDescent="0.2">
      <c r="A58" t="s">
        <v>748</v>
      </c>
      <c r="B58">
        <v>1</v>
      </c>
      <c r="C58" t="s">
        <v>624</v>
      </c>
    </row>
    <row r="59" spans="1:3" x14ac:dyDescent="0.2">
      <c r="A59" t="s">
        <v>749</v>
      </c>
      <c r="B59">
        <v>1</v>
      </c>
      <c r="C59" t="s">
        <v>624</v>
      </c>
    </row>
    <row r="60" spans="1:3" x14ac:dyDescent="0.2">
      <c r="A60" t="s">
        <v>750</v>
      </c>
      <c r="B60">
        <v>1</v>
      </c>
      <c r="C60" t="s">
        <v>624</v>
      </c>
    </row>
    <row r="61" spans="1:3" x14ac:dyDescent="0.2">
      <c r="A61" t="s">
        <v>751</v>
      </c>
      <c r="B61">
        <v>1</v>
      </c>
      <c r="C61" t="s">
        <v>624</v>
      </c>
    </row>
    <row r="62" spans="1:3" x14ac:dyDescent="0.2">
      <c r="A62" t="s">
        <v>752</v>
      </c>
      <c r="B62">
        <v>1</v>
      </c>
      <c r="C62" t="s">
        <v>624</v>
      </c>
    </row>
    <row r="63" spans="1:3" x14ac:dyDescent="0.2">
      <c r="A63" t="s">
        <v>753</v>
      </c>
      <c r="B63">
        <v>1</v>
      </c>
      <c r="C63" t="s">
        <v>624</v>
      </c>
    </row>
    <row r="64" spans="1:3" x14ac:dyDescent="0.2">
      <c r="A64" t="s">
        <v>754</v>
      </c>
      <c r="B64">
        <v>1</v>
      </c>
      <c r="C64" t="s">
        <v>624</v>
      </c>
    </row>
    <row r="65" spans="1:3" x14ac:dyDescent="0.2">
      <c r="A65" t="s">
        <v>755</v>
      </c>
      <c r="B65">
        <v>1</v>
      </c>
      <c r="C65" t="s">
        <v>624</v>
      </c>
    </row>
    <row r="66" spans="1:3" x14ac:dyDescent="0.2">
      <c r="A66" t="s">
        <v>756</v>
      </c>
      <c r="B66">
        <v>1</v>
      </c>
      <c r="C66" t="s">
        <v>624</v>
      </c>
    </row>
    <row r="67" spans="1:3" x14ac:dyDescent="0.2">
      <c r="A67" t="s">
        <v>757</v>
      </c>
      <c r="B67">
        <v>1</v>
      </c>
      <c r="C67" t="s">
        <v>624</v>
      </c>
    </row>
    <row r="68" spans="1:3" x14ac:dyDescent="0.2">
      <c r="A68" t="s">
        <v>758</v>
      </c>
      <c r="B68">
        <v>1</v>
      </c>
      <c r="C68" t="s">
        <v>624</v>
      </c>
    </row>
    <row r="69" spans="1:3" x14ac:dyDescent="0.2">
      <c r="A69" t="s">
        <v>759</v>
      </c>
      <c r="B69">
        <v>1</v>
      </c>
      <c r="C69" t="s">
        <v>624</v>
      </c>
    </row>
    <row r="70" spans="1:3" x14ac:dyDescent="0.2">
      <c r="A70" t="s">
        <v>760</v>
      </c>
      <c r="B70">
        <v>1</v>
      </c>
      <c r="C70" t="s">
        <v>624</v>
      </c>
    </row>
    <row r="71" spans="1:3" x14ac:dyDescent="0.2">
      <c r="A71" t="s">
        <v>761</v>
      </c>
      <c r="B71">
        <v>1</v>
      </c>
      <c r="C71" t="s">
        <v>624</v>
      </c>
    </row>
    <row r="72" spans="1:3" x14ac:dyDescent="0.2">
      <c r="A72" t="s">
        <v>762</v>
      </c>
      <c r="B72">
        <v>1</v>
      </c>
      <c r="C72" t="s">
        <v>624</v>
      </c>
    </row>
    <row r="73" spans="1:3" x14ac:dyDescent="0.2">
      <c r="A73" t="s">
        <v>763</v>
      </c>
      <c r="B73">
        <v>1</v>
      </c>
      <c r="C73" t="s">
        <v>624</v>
      </c>
    </row>
    <row r="74" spans="1:3" x14ac:dyDescent="0.2">
      <c r="A74" t="s">
        <v>764</v>
      </c>
      <c r="B74">
        <v>1</v>
      </c>
      <c r="C74" t="s">
        <v>624</v>
      </c>
    </row>
    <row r="75" spans="1:3" x14ac:dyDescent="0.2">
      <c r="A75" t="s">
        <v>765</v>
      </c>
      <c r="B75">
        <v>1</v>
      </c>
      <c r="C75" t="s">
        <v>624</v>
      </c>
    </row>
    <row r="76" spans="1:3" x14ac:dyDescent="0.2">
      <c r="A76" t="s">
        <v>766</v>
      </c>
      <c r="B76">
        <v>1</v>
      </c>
      <c r="C76" t="s">
        <v>624</v>
      </c>
    </row>
    <row r="77" spans="1:3" x14ac:dyDescent="0.2">
      <c r="A77" t="s">
        <v>767</v>
      </c>
      <c r="B77">
        <v>1</v>
      </c>
      <c r="C77" t="s">
        <v>624</v>
      </c>
    </row>
    <row r="78" spans="1:3" x14ac:dyDescent="0.2">
      <c r="A78" t="s">
        <v>768</v>
      </c>
      <c r="B78">
        <v>1</v>
      </c>
      <c r="C78" t="s">
        <v>624</v>
      </c>
    </row>
    <row r="79" spans="1:3" x14ac:dyDescent="0.2">
      <c r="A79" t="s">
        <v>769</v>
      </c>
      <c r="B79">
        <v>1</v>
      </c>
      <c r="C79" t="s">
        <v>624</v>
      </c>
    </row>
    <row r="80" spans="1:3" x14ac:dyDescent="0.2">
      <c r="A80" t="s">
        <v>770</v>
      </c>
      <c r="B80">
        <v>1</v>
      </c>
      <c r="C80" t="s">
        <v>624</v>
      </c>
    </row>
    <row r="81" spans="1:3" x14ac:dyDescent="0.2">
      <c r="A81" t="s">
        <v>771</v>
      </c>
      <c r="B81">
        <v>1</v>
      </c>
      <c r="C81" t="s">
        <v>624</v>
      </c>
    </row>
    <row r="82" spans="1:3" x14ac:dyDescent="0.2">
      <c r="A82" t="s">
        <v>772</v>
      </c>
      <c r="B82">
        <v>1</v>
      </c>
      <c r="C82" t="s">
        <v>624</v>
      </c>
    </row>
    <row r="83" spans="1:3" x14ac:dyDescent="0.2">
      <c r="A83" t="s">
        <v>773</v>
      </c>
      <c r="B83">
        <v>1</v>
      </c>
      <c r="C83" t="s">
        <v>624</v>
      </c>
    </row>
    <row r="84" spans="1:3" x14ac:dyDescent="0.2">
      <c r="A84" t="s">
        <v>774</v>
      </c>
      <c r="B84">
        <v>1</v>
      </c>
      <c r="C84" t="s">
        <v>624</v>
      </c>
    </row>
    <row r="85" spans="1:3" x14ac:dyDescent="0.2">
      <c r="A85" t="s">
        <v>775</v>
      </c>
      <c r="B85">
        <v>1</v>
      </c>
      <c r="C85" t="s">
        <v>624</v>
      </c>
    </row>
    <row r="86" spans="1:3" x14ac:dyDescent="0.2">
      <c r="A86" t="s">
        <v>776</v>
      </c>
      <c r="B86">
        <v>1</v>
      </c>
      <c r="C86" t="s">
        <v>624</v>
      </c>
    </row>
    <row r="87" spans="1:3" x14ac:dyDescent="0.2">
      <c r="A87" t="s">
        <v>777</v>
      </c>
      <c r="B87">
        <v>1</v>
      </c>
      <c r="C87" t="s">
        <v>624</v>
      </c>
    </row>
    <row r="88" spans="1:3" x14ac:dyDescent="0.2">
      <c r="A88" t="s">
        <v>778</v>
      </c>
      <c r="B88">
        <v>1</v>
      </c>
      <c r="C88" t="s">
        <v>624</v>
      </c>
    </row>
    <row r="89" spans="1:3" x14ac:dyDescent="0.2">
      <c r="A89" t="s">
        <v>779</v>
      </c>
      <c r="B89">
        <v>1</v>
      </c>
      <c r="C89" t="s">
        <v>624</v>
      </c>
    </row>
    <row r="90" spans="1:3" x14ac:dyDescent="0.2">
      <c r="A90" t="s">
        <v>780</v>
      </c>
      <c r="B90">
        <v>1</v>
      </c>
      <c r="C90" t="s">
        <v>624</v>
      </c>
    </row>
    <row r="91" spans="1:3" x14ac:dyDescent="0.2">
      <c r="A91" t="s">
        <v>781</v>
      </c>
      <c r="B91">
        <v>1</v>
      </c>
      <c r="C91" t="s">
        <v>624</v>
      </c>
    </row>
    <row r="92" spans="1:3" x14ac:dyDescent="0.2">
      <c r="A92" t="s">
        <v>782</v>
      </c>
      <c r="B92">
        <v>1</v>
      </c>
      <c r="C92" t="s">
        <v>624</v>
      </c>
    </row>
    <row r="93" spans="1:3" x14ac:dyDescent="0.2">
      <c r="A93" t="s">
        <v>783</v>
      </c>
      <c r="B93">
        <v>1</v>
      </c>
      <c r="C93" t="s">
        <v>624</v>
      </c>
    </row>
    <row r="94" spans="1:3" x14ac:dyDescent="0.2">
      <c r="A94" t="s">
        <v>784</v>
      </c>
      <c r="B94">
        <v>1</v>
      </c>
      <c r="C94" t="s">
        <v>624</v>
      </c>
    </row>
    <row r="95" spans="1:3" x14ac:dyDescent="0.2">
      <c r="A95" t="s">
        <v>785</v>
      </c>
      <c r="B95">
        <v>1</v>
      </c>
      <c r="C95" t="s">
        <v>624</v>
      </c>
    </row>
    <row r="96" spans="1:3" x14ac:dyDescent="0.2">
      <c r="A96" t="s">
        <v>786</v>
      </c>
      <c r="B96">
        <v>1</v>
      </c>
      <c r="C96" t="s">
        <v>624</v>
      </c>
    </row>
    <row r="97" spans="1:3" x14ac:dyDescent="0.2">
      <c r="A97" t="s">
        <v>787</v>
      </c>
      <c r="B97">
        <v>1</v>
      </c>
      <c r="C97" t="s">
        <v>624</v>
      </c>
    </row>
    <row r="98" spans="1:3" x14ac:dyDescent="0.2">
      <c r="A98" t="s">
        <v>788</v>
      </c>
      <c r="B98">
        <v>1</v>
      </c>
      <c r="C98" t="s">
        <v>624</v>
      </c>
    </row>
    <row r="99" spans="1:3" x14ac:dyDescent="0.2">
      <c r="A99" t="s">
        <v>789</v>
      </c>
      <c r="B99">
        <v>1</v>
      </c>
      <c r="C99" t="s">
        <v>624</v>
      </c>
    </row>
    <row r="100" spans="1:3" x14ac:dyDescent="0.2">
      <c r="A100" t="s">
        <v>790</v>
      </c>
      <c r="B100">
        <v>1</v>
      </c>
      <c r="C100" t="s">
        <v>624</v>
      </c>
    </row>
    <row r="101" spans="1:3" x14ac:dyDescent="0.2">
      <c r="A101" t="s">
        <v>791</v>
      </c>
      <c r="B101">
        <v>1</v>
      </c>
      <c r="C101" t="s">
        <v>624</v>
      </c>
    </row>
    <row r="102" spans="1:3" x14ac:dyDescent="0.2">
      <c r="A102" t="s">
        <v>792</v>
      </c>
      <c r="B102">
        <v>1</v>
      </c>
      <c r="C102" t="s">
        <v>624</v>
      </c>
    </row>
    <row r="103" spans="1:3" x14ac:dyDescent="0.2">
      <c r="A103" t="s">
        <v>793</v>
      </c>
      <c r="B103">
        <v>1</v>
      </c>
      <c r="C103" t="s">
        <v>624</v>
      </c>
    </row>
    <row r="104" spans="1:3" x14ac:dyDescent="0.2">
      <c r="A104" t="s">
        <v>794</v>
      </c>
      <c r="B104">
        <v>1</v>
      </c>
      <c r="C104" t="s">
        <v>624</v>
      </c>
    </row>
    <row r="105" spans="1:3" x14ac:dyDescent="0.2">
      <c r="A105" t="s">
        <v>795</v>
      </c>
      <c r="B105">
        <v>1</v>
      </c>
      <c r="C105" t="s">
        <v>624</v>
      </c>
    </row>
    <row r="106" spans="1:3" x14ac:dyDescent="0.2">
      <c r="A106" t="s">
        <v>796</v>
      </c>
      <c r="B106">
        <v>1</v>
      </c>
      <c r="C106" t="s">
        <v>624</v>
      </c>
    </row>
    <row r="107" spans="1:3" x14ac:dyDescent="0.2">
      <c r="A107" t="s">
        <v>797</v>
      </c>
      <c r="B107">
        <v>1</v>
      </c>
      <c r="C107" t="s">
        <v>624</v>
      </c>
    </row>
    <row r="108" spans="1:3" x14ac:dyDescent="0.2">
      <c r="A108" t="s">
        <v>798</v>
      </c>
      <c r="B108">
        <v>1</v>
      </c>
      <c r="C108" t="s">
        <v>624</v>
      </c>
    </row>
    <row r="109" spans="1:3" x14ac:dyDescent="0.2">
      <c r="A109" t="s">
        <v>799</v>
      </c>
      <c r="B109">
        <v>1</v>
      </c>
      <c r="C109" t="s">
        <v>624</v>
      </c>
    </row>
    <row r="110" spans="1:3" x14ac:dyDescent="0.2">
      <c r="A110" t="s">
        <v>800</v>
      </c>
      <c r="B110">
        <v>1</v>
      </c>
      <c r="C110" t="s">
        <v>624</v>
      </c>
    </row>
    <row r="111" spans="1:3" x14ac:dyDescent="0.2">
      <c r="A111" t="s">
        <v>801</v>
      </c>
      <c r="B111">
        <v>1</v>
      </c>
      <c r="C111" t="s">
        <v>624</v>
      </c>
    </row>
    <row r="112" spans="1:3" x14ac:dyDescent="0.2">
      <c r="A112" t="s">
        <v>802</v>
      </c>
      <c r="B112">
        <v>1</v>
      </c>
      <c r="C112" t="s">
        <v>624</v>
      </c>
    </row>
    <row r="113" spans="1:3" x14ac:dyDescent="0.2">
      <c r="A113" t="s">
        <v>803</v>
      </c>
      <c r="B113">
        <v>1</v>
      </c>
      <c r="C113" t="s">
        <v>624</v>
      </c>
    </row>
    <row r="114" spans="1:3" x14ac:dyDescent="0.2">
      <c r="A114" t="s">
        <v>804</v>
      </c>
      <c r="B114">
        <v>1</v>
      </c>
      <c r="C114" t="s">
        <v>624</v>
      </c>
    </row>
    <row r="115" spans="1:3" x14ac:dyDescent="0.2">
      <c r="A115" t="s">
        <v>805</v>
      </c>
      <c r="B115">
        <v>1</v>
      </c>
      <c r="C115" t="s">
        <v>624</v>
      </c>
    </row>
    <row r="116" spans="1:3" x14ac:dyDescent="0.2">
      <c r="A116" t="s">
        <v>806</v>
      </c>
      <c r="B116">
        <v>1</v>
      </c>
      <c r="C116" t="s">
        <v>624</v>
      </c>
    </row>
    <row r="117" spans="1:3" x14ac:dyDescent="0.2">
      <c r="A117" t="s">
        <v>807</v>
      </c>
      <c r="B117">
        <v>1</v>
      </c>
      <c r="C117" t="s">
        <v>624</v>
      </c>
    </row>
    <row r="118" spans="1:3" x14ac:dyDescent="0.2">
      <c r="A118" t="s">
        <v>808</v>
      </c>
      <c r="B118">
        <v>1</v>
      </c>
      <c r="C118" t="s">
        <v>624</v>
      </c>
    </row>
    <row r="119" spans="1:3" x14ac:dyDescent="0.2">
      <c r="A119" t="s">
        <v>809</v>
      </c>
      <c r="B119">
        <v>1</v>
      </c>
      <c r="C119" t="s">
        <v>624</v>
      </c>
    </row>
    <row r="120" spans="1:3" x14ac:dyDescent="0.2">
      <c r="A120" t="s">
        <v>810</v>
      </c>
      <c r="B120">
        <v>1</v>
      </c>
      <c r="C120" t="s">
        <v>624</v>
      </c>
    </row>
    <row r="121" spans="1:3" x14ac:dyDescent="0.2">
      <c r="A121" t="s">
        <v>811</v>
      </c>
      <c r="B121">
        <v>1</v>
      </c>
      <c r="C121" t="s">
        <v>624</v>
      </c>
    </row>
    <row r="122" spans="1:3" x14ac:dyDescent="0.2">
      <c r="A122" t="s">
        <v>812</v>
      </c>
      <c r="B122">
        <v>1</v>
      </c>
      <c r="C122" t="s">
        <v>624</v>
      </c>
    </row>
    <row r="123" spans="1:3" x14ac:dyDescent="0.2">
      <c r="A123" t="s">
        <v>813</v>
      </c>
      <c r="B123">
        <v>1</v>
      </c>
      <c r="C123" t="s">
        <v>624</v>
      </c>
    </row>
    <row r="124" spans="1:3" x14ac:dyDescent="0.2">
      <c r="A124" t="s">
        <v>814</v>
      </c>
      <c r="B124">
        <v>1</v>
      </c>
      <c r="C124" t="s">
        <v>624</v>
      </c>
    </row>
    <row r="125" spans="1:3" x14ac:dyDescent="0.2">
      <c r="A125" t="s">
        <v>815</v>
      </c>
      <c r="B125">
        <v>1</v>
      </c>
      <c r="C125" t="s">
        <v>624</v>
      </c>
    </row>
    <row r="126" spans="1:3" x14ac:dyDescent="0.2">
      <c r="A126" t="s">
        <v>816</v>
      </c>
      <c r="B126">
        <v>1</v>
      </c>
      <c r="C126" t="s">
        <v>624</v>
      </c>
    </row>
    <row r="127" spans="1:3" x14ac:dyDescent="0.2">
      <c r="A127" t="s">
        <v>817</v>
      </c>
      <c r="B127">
        <v>1</v>
      </c>
      <c r="C127" t="s">
        <v>624</v>
      </c>
    </row>
    <row r="128" spans="1:3" x14ac:dyDescent="0.2">
      <c r="A128" t="s">
        <v>818</v>
      </c>
      <c r="B128">
        <v>1</v>
      </c>
      <c r="C128" t="s">
        <v>624</v>
      </c>
    </row>
    <row r="129" spans="1:3" x14ac:dyDescent="0.2">
      <c r="A129" t="s">
        <v>819</v>
      </c>
      <c r="B129">
        <v>1</v>
      </c>
      <c r="C129" t="s">
        <v>624</v>
      </c>
    </row>
    <row r="130" spans="1:3" x14ac:dyDescent="0.2">
      <c r="A130" t="s">
        <v>820</v>
      </c>
      <c r="B130">
        <v>1</v>
      </c>
      <c r="C130" t="s">
        <v>624</v>
      </c>
    </row>
    <row r="131" spans="1:3" x14ac:dyDescent="0.2">
      <c r="A131" t="s">
        <v>821</v>
      </c>
      <c r="B131">
        <v>1</v>
      </c>
      <c r="C131" t="s">
        <v>624</v>
      </c>
    </row>
    <row r="132" spans="1:3" x14ac:dyDescent="0.2">
      <c r="A132" t="s">
        <v>822</v>
      </c>
      <c r="B132">
        <v>1</v>
      </c>
      <c r="C132" t="s">
        <v>624</v>
      </c>
    </row>
    <row r="133" spans="1:3" x14ac:dyDescent="0.2">
      <c r="A133" t="s">
        <v>823</v>
      </c>
      <c r="B133">
        <v>1</v>
      </c>
      <c r="C133" t="s">
        <v>624</v>
      </c>
    </row>
    <row r="134" spans="1:3" x14ac:dyDescent="0.2">
      <c r="A134" t="s">
        <v>824</v>
      </c>
      <c r="B134">
        <v>1</v>
      </c>
      <c r="C134" t="s">
        <v>624</v>
      </c>
    </row>
    <row r="135" spans="1:3" x14ac:dyDescent="0.2">
      <c r="A135" t="s">
        <v>825</v>
      </c>
      <c r="B135">
        <v>1</v>
      </c>
      <c r="C135" t="s">
        <v>624</v>
      </c>
    </row>
    <row r="136" spans="1:3" x14ac:dyDescent="0.2">
      <c r="A136" t="s">
        <v>826</v>
      </c>
      <c r="B136">
        <v>1</v>
      </c>
      <c r="C136" t="s">
        <v>624</v>
      </c>
    </row>
    <row r="137" spans="1:3" x14ac:dyDescent="0.2">
      <c r="A137" t="s">
        <v>827</v>
      </c>
      <c r="B137">
        <v>1</v>
      </c>
      <c r="C137" t="s">
        <v>624</v>
      </c>
    </row>
    <row r="138" spans="1:3" x14ac:dyDescent="0.2">
      <c r="A138" t="s">
        <v>828</v>
      </c>
      <c r="B138">
        <v>1</v>
      </c>
      <c r="C138" t="s">
        <v>624</v>
      </c>
    </row>
    <row r="139" spans="1:3" x14ac:dyDescent="0.2">
      <c r="A139" t="s">
        <v>829</v>
      </c>
      <c r="B139">
        <v>1</v>
      </c>
      <c r="C139" t="s">
        <v>624</v>
      </c>
    </row>
    <row r="140" spans="1:3" x14ac:dyDescent="0.2">
      <c r="A140" t="s">
        <v>830</v>
      </c>
      <c r="B140">
        <v>1</v>
      </c>
      <c r="C140" t="s">
        <v>624</v>
      </c>
    </row>
    <row r="141" spans="1:3" x14ac:dyDescent="0.2">
      <c r="A141" t="s">
        <v>831</v>
      </c>
      <c r="B141">
        <v>1</v>
      </c>
      <c r="C141" t="s">
        <v>624</v>
      </c>
    </row>
    <row r="142" spans="1:3" x14ac:dyDescent="0.2">
      <c r="A142" t="s">
        <v>832</v>
      </c>
      <c r="B142">
        <v>1</v>
      </c>
      <c r="C142" t="s">
        <v>624</v>
      </c>
    </row>
    <row r="143" spans="1:3" x14ac:dyDescent="0.2">
      <c r="A143" t="s">
        <v>833</v>
      </c>
      <c r="B143">
        <v>1</v>
      </c>
      <c r="C143" t="s">
        <v>624</v>
      </c>
    </row>
    <row r="144" spans="1:3" x14ac:dyDescent="0.2">
      <c r="A144" t="s">
        <v>834</v>
      </c>
      <c r="B144">
        <v>1</v>
      </c>
      <c r="C144" t="s">
        <v>624</v>
      </c>
    </row>
    <row r="145" spans="1:3" x14ac:dyDescent="0.2">
      <c r="A145" t="s">
        <v>835</v>
      </c>
      <c r="B145">
        <v>1</v>
      </c>
      <c r="C145" t="s">
        <v>624</v>
      </c>
    </row>
    <row r="146" spans="1:3" x14ac:dyDescent="0.2">
      <c r="A146" t="s">
        <v>836</v>
      </c>
      <c r="B146">
        <v>1</v>
      </c>
      <c r="C146" t="s">
        <v>624</v>
      </c>
    </row>
    <row r="147" spans="1:3" x14ac:dyDescent="0.2">
      <c r="A147" t="s">
        <v>837</v>
      </c>
      <c r="B147">
        <v>1</v>
      </c>
      <c r="C147" t="s">
        <v>624</v>
      </c>
    </row>
    <row r="148" spans="1:3" x14ac:dyDescent="0.2">
      <c r="A148" t="s">
        <v>838</v>
      </c>
      <c r="B148">
        <v>1</v>
      </c>
      <c r="C148" t="s">
        <v>624</v>
      </c>
    </row>
    <row r="149" spans="1:3" x14ac:dyDescent="0.2">
      <c r="A149" t="s">
        <v>839</v>
      </c>
      <c r="B149">
        <v>1</v>
      </c>
      <c r="C149" t="s">
        <v>624</v>
      </c>
    </row>
    <row r="150" spans="1:3" x14ac:dyDescent="0.2">
      <c r="A150" t="s">
        <v>840</v>
      </c>
      <c r="B150">
        <v>1</v>
      </c>
      <c r="C150" t="s">
        <v>624</v>
      </c>
    </row>
    <row r="151" spans="1:3" x14ac:dyDescent="0.2">
      <c r="A151" t="s">
        <v>841</v>
      </c>
      <c r="B151">
        <v>1</v>
      </c>
      <c r="C151" t="s">
        <v>624</v>
      </c>
    </row>
    <row r="152" spans="1:3" x14ac:dyDescent="0.2">
      <c r="A152" t="s">
        <v>842</v>
      </c>
      <c r="B152">
        <v>1</v>
      </c>
      <c r="C152" t="s">
        <v>624</v>
      </c>
    </row>
    <row r="153" spans="1:3" x14ac:dyDescent="0.2">
      <c r="A153" t="s">
        <v>843</v>
      </c>
      <c r="B153">
        <v>1</v>
      </c>
      <c r="C153" t="s">
        <v>624</v>
      </c>
    </row>
    <row r="154" spans="1:3" x14ac:dyDescent="0.2">
      <c r="A154" t="s">
        <v>844</v>
      </c>
      <c r="B154">
        <v>1</v>
      </c>
      <c r="C154" t="s">
        <v>624</v>
      </c>
    </row>
    <row r="155" spans="1:3" x14ac:dyDescent="0.2">
      <c r="A155" t="s">
        <v>845</v>
      </c>
      <c r="B155">
        <v>1</v>
      </c>
      <c r="C155" t="s">
        <v>624</v>
      </c>
    </row>
    <row r="156" spans="1:3" x14ac:dyDescent="0.2">
      <c r="A156" t="s">
        <v>846</v>
      </c>
      <c r="B156">
        <v>1</v>
      </c>
      <c r="C156" t="s">
        <v>624</v>
      </c>
    </row>
    <row r="157" spans="1:3" x14ac:dyDescent="0.2">
      <c r="A157" t="s">
        <v>847</v>
      </c>
      <c r="B157">
        <v>1</v>
      </c>
      <c r="C157" t="s">
        <v>624</v>
      </c>
    </row>
    <row r="158" spans="1:3" x14ac:dyDescent="0.2">
      <c r="A158" t="s">
        <v>848</v>
      </c>
      <c r="B158">
        <v>1</v>
      </c>
      <c r="C158" t="s">
        <v>624</v>
      </c>
    </row>
    <row r="159" spans="1:3" x14ac:dyDescent="0.2">
      <c r="A159" t="s">
        <v>849</v>
      </c>
      <c r="B159">
        <v>1</v>
      </c>
      <c r="C159" t="s">
        <v>624</v>
      </c>
    </row>
    <row r="160" spans="1:3" x14ac:dyDescent="0.2">
      <c r="A160" t="s">
        <v>850</v>
      </c>
      <c r="B160">
        <v>1</v>
      </c>
      <c r="C160" t="s">
        <v>624</v>
      </c>
    </row>
    <row r="161" spans="1:3" x14ac:dyDescent="0.2">
      <c r="A161" t="s">
        <v>851</v>
      </c>
      <c r="B161">
        <v>1</v>
      </c>
      <c r="C161" t="s">
        <v>624</v>
      </c>
    </row>
    <row r="162" spans="1:3" x14ac:dyDescent="0.2">
      <c r="A162" t="s">
        <v>852</v>
      </c>
      <c r="B162">
        <v>1</v>
      </c>
      <c r="C162" t="s">
        <v>624</v>
      </c>
    </row>
    <row r="163" spans="1:3" x14ac:dyDescent="0.2">
      <c r="A163" t="s">
        <v>853</v>
      </c>
      <c r="B163">
        <v>1</v>
      </c>
      <c r="C163" t="s">
        <v>624</v>
      </c>
    </row>
    <row r="164" spans="1:3" x14ac:dyDescent="0.2">
      <c r="A164" t="s">
        <v>854</v>
      </c>
      <c r="B164">
        <v>1</v>
      </c>
      <c r="C164" t="s">
        <v>624</v>
      </c>
    </row>
    <row r="165" spans="1:3" x14ac:dyDescent="0.2">
      <c r="A165" t="s">
        <v>855</v>
      </c>
      <c r="B165">
        <v>1</v>
      </c>
      <c r="C165" t="s">
        <v>624</v>
      </c>
    </row>
    <row r="166" spans="1:3" x14ac:dyDescent="0.2">
      <c r="A166" t="s">
        <v>856</v>
      </c>
      <c r="B166">
        <v>1</v>
      </c>
      <c r="C166" t="s">
        <v>624</v>
      </c>
    </row>
    <row r="167" spans="1:3" x14ac:dyDescent="0.2">
      <c r="A167" t="s">
        <v>857</v>
      </c>
      <c r="B167">
        <v>1</v>
      </c>
      <c r="C167" t="s">
        <v>624</v>
      </c>
    </row>
    <row r="168" spans="1:3" x14ac:dyDescent="0.2">
      <c r="A168" t="s">
        <v>858</v>
      </c>
      <c r="B168">
        <v>1</v>
      </c>
      <c r="C168" t="s">
        <v>624</v>
      </c>
    </row>
    <row r="169" spans="1:3" x14ac:dyDescent="0.2">
      <c r="A169" t="s">
        <v>859</v>
      </c>
      <c r="B169">
        <v>1</v>
      </c>
      <c r="C169" t="s">
        <v>624</v>
      </c>
    </row>
    <row r="170" spans="1:3" x14ac:dyDescent="0.2">
      <c r="A170" t="s">
        <v>860</v>
      </c>
      <c r="B170">
        <v>1</v>
      </c>
      <c r="C170" t="s">
        <v>624</v>
      </c>
    </row>
    <row r="171" spans="1:3" x14ac:dyDescent="0.2">
      <c r="A171" t="s">
        <v>861</v>
      </c>
      <c r="B171">
        <v>1</v>
      </c>
      <c r="C171" t="s">
        <v>624</v>
      </c>
    </row>
    <row r="172" spans="1:3" x14ac:dyDescent="0.2">
      <c r="A172" t="s">
        <v>862</v>
      </c>
      <c r="B172">
        <v>1</v>
      </c>
      <c r="C172" t="s">
        <v>624</v>
      </c>
    </row>
    <row r="173" spans="1:3" x14ac:dyDescent="0.2">
      <c r="A173" t="s">
        <v>863</v>
      </c>
      <c r="B173">
        <v>1</v>
      </c>
      <c r="C173" t="s">
        <v>624</v>
      </c>
    </row>
    <row r="174" spans="1:3" x14ac:dyDescent="0.2">
      <c r="A174" t="s">
        <v>864</v>
      </c>
      <c r="B174">
        <v>1</v>
      </c>
      <c r="C174" t="s">
        <v>624</v>
      </c>
    </row>
    <row r="175" spans="1:3" x14ac:dyDescent="0.2">
      <c r="A175" t="s">
        <v>679</v>
      </c>
      <c r="B175">
        <v>1</v>
      </c>
      <c r="C175" t="s">
        <v>624</v>
      </c>
    </row>
    <row r="176" spans="1:3" x14ac:dyDescent="0.2">
      <c r="A176" t="s">
        <v>680</v>
      </c>
      <c r="B176">
        <v>1</v>
      </c>
      <c r="C176" t="s">
        <v>624</v>
      </c>
    </row>
    <row r="177" spans="1:3" x14ac:dyDescent="0.2">
      <c r="A177" t="s">
        <v>681</v>
      </c>
      <c r="B177">
        <v>1</v>
      </c>
      <c r="C177" t="s">
        <v>624</v>
      </c>
    </row>
    <row r="178" spans="1:3" x14ac:dyDescent="0.2">
      <c r="A178" t="s">
        <v>682</v>
      </c>
      <c r="B178">
        <v>1</v>
      </c>
      <c r="C178" t="s">
        <v>624</v>
      </c>
    </row>
    <row r="179" spans="1:3" x14ac:dyDescent="0.2">
      <c r="A179" t="s">
        <v>683</v>
      </c>
      <c r="B179">
        <v>1</v>
      </c>
      <c r="C179" t="s">
        <v>624</v>
      </c>
    </row>
    <row r="180" spans="1:3" x14ac:dyDescent="0.2">
      <c r="A180" t="s">
        <v>684</v>
      </c>
      <c r="B180">
        <v>1</v>
      </c>
      <c r="C180" t="s">
        <v>624</v>
      </c>
    </row>
    <row r="181" spans="1:3" x14ac:dyDescent="0.2">
      <c r="A181" t="s">
        <v>685</v>
      </c>
      <c r="B181">
        <v>1</v>
      </c>
      <c r="C181" t="s">
        <v>624</v>
      </c>
    </row>
    <row r="182" spans="1:3" x14ac:dyDescent="0.2">
      <c r="A182" t="s">
        <v>658</v>
      </c>
      <c r="B182">
        <v>1</v>
      </c>
      <c r="C182" t="s">
        <v>624</v>
      </c>
    </row>
    <row r="183" spans="1:3" x14ac:dyDescent="0.2">
      <c r="A183" t="s">
        <v>659</v>
      </c>
      <c r="B183">
        <v>1</v>
      </c>
      <c r="C183" t="s">
        <v>624</v>
      </c>
    </row>
    <row r="184" spans="1:3" x14ac:dyDescent="0.2">
      <c r="A184" t="s">
        <v>686</v>
      </c>
      <c r="B184">
        <v>1</v>
      </c>
      <c r="C184" t="s">
        <v>624</v>
      </c>
    </row>
    <row r="185" spans="1:3" x14ac:dyDescent="0.2">
      <c r="A185" t="s">
        <v>687</v>
      </c>
      <c r="B185">
        <v>1</v>
      </c>
      <c r="C185" t="s">
        <v>624</v>
      </c>
    </row>
    <row r="186" spans="1:3" x14ac:dyDescent="0.2">
      <c r="A186" t="s">
        <v>688</v>
      </c>
      <c r="B186">
        <v>1</v>
      </c>
      <c r="C186" t="s">
        <v>624</v>
      </c>
    </row>
    <row r="187" spans="1:3" x14ac:dyDescent="0.2">
      <c r="A187" t="s">
        <v>689</v>
      </c>
      <c r="B187">
        <v>1</v>
      </c>
      <c r="C187" t="s">
        <v>624</v>
      </c>
    </row>
    <row r="188" spans="1:3" x14ac:dyDescent="0.2">
      <c r="A188" t="s">
        <v>690</v>
      </c>
      <c r="B188">
        <v>1</v>
      </c>
      <c r="C188" t="s">
        <v>624</v>
      </c>
    </row>
    <row r="189" spans="1:3" x14ac:dyDescent="0.2">
      <c r="A189" t="s">
        <v>691</v>
      </c>
      <c r="B189">
        <v>1</v>
      </c>
      <c r="C189" t="s">
        <v>624</v>
      </c>
    </row>
    <row r="190" spans="1:3" x14ac:dyDescent="0.2">
      <c r="A190" t="s">
        <v>692</v>
      </c>
      <c r="B190">
        <v>1</v>
      </c>
      <c r="C190" t="s">
        <v>624</v>
      </c>
    </row>
    <row r="191" spans="1:3" x14ac:dyDescent="0.2">
      <c r="A191" t="s">
        <v>660</v>
      </c>
      <c r="B191">
        <v>1</v>
      </c>
      <c r="C191" t="s">
        <v>624</v>
      </c>
    </row>
    <row r="192" spans="1:3" x14ac:dyDescent="0.2">
      <c r="A192" t="s">
        <v>661</v>
      </c>
      <c r="B192">
        <v>1</v>
      </c>
      <c r="C192" t="s">
        <v>624</v>
      </c>
    </row>
  </sheetData>
  <phoneticPr fontId="6" type="noConversion"/>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3">
        <x14:dataValidation type="list" allowBlank="1" showInputMessage="1" xr:uid="{00000000-0002-0000-0400-000000000000}">
          <x14:formula1>
            <xm:f>'Drop-down values'!$E$33:$I$33</xm:f>
          </x14:formula1>
          <xm:sqref>G4:G103</xm:sqref>
        </x14:dataValidation>
        <x14:dataValidation type="list" allowBlank="1" showInputMessage="1" xr:uid="{00000000-0002-0000-0400-000001000000}">
          <x14:formula1>
            <xm:f>'Drop-down values'!$E$34:$K$34</xm:f>
          </x14:formula1>
          <xm:sqref>I4:I103</xm:sqref>
        </x14:dataValidation>
        <x14:dataValidation type="list" allowBlank="1" showInputMessage="1" xr:uid="{00000000-0002-0000-0400-000002000000}">
          <x14:formula1>
            <xm:f>'Drop-down values'!$E$35:$H$35</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2"/>
  <sheetViews>
    <sheetView workbookViewId="0">
      <selection activeCell="I5" sqref="I5"/>
    </sheetView>
  </sheetViews>
  <sheetFormatPr baseColWidth="10" defaultRowHeight="15" x14ac:dyDescent="0.2"/>
  <sheetData>
    <row r="1" spans="1:12" x14ac:dyDescent="0.2">
      <c r="A1" t="s">
        <v>462</v>
      </c>
      <c r="B1" s="1" t="s">
        <v>15</v>
      </c>
      <c r="C1" s="1" t="s">
        <v>15</v>
      </c>
      <c r="D1" s="1" t="s">
        <v>15</v>
      </c>
      <c r="E1" s="1" t="s">
        <v>15</v>
      </c>
      <c r="F1" s="1" t="s">
        <v>15</v>
      </c>
      <c r="G1" s="1" t="s">
        <v>15</v>
      </c>
      <c r="H1" s="4" t="s">
        <v>25</v>
      </c>
      <c r="I1" s="2" t="s">
        <v>29</v>
      </c>
      <c r="J1" s="2" t="s">
        <v>29</v>
      </c>
      <c r="K1" s="3" t="s">
        <v>18</v>
      </c>
      <c r="L1" s="3" t="s">
        <v>18</v>
      </c>
    </row>
    <row r="2" spans="1:12" x14ac:dyDescent="0.2">
      <c r="A2" t="s">
        <v>463</v>
      </c>
      <c r="B2" t="s">
        <v>46</v>
      </c>
      <c r="C2" t="s">
        <v>46</v>
      </c>
      <c r="D2" t="s">
        <v>46</v>
      </c>
      <c r="E2" t="s">
        <v>87</v>
      </c>
      <c r="F2" t="s">
        <v>87</v>
      </c>
      <c r="G2" t="s">
        <v>87</v>
      </c>
      <c r="H2" t="s">
        <v>87</v>
      </c>
      <c r="I2" t="s">
        <v>87</v>
      </c>
      <c r="J2" t="s">
        <v>87</v>
      </c>
      <c r="K2" t="s">
        <v>87</v>
      </c>
      <c r="L2" t="s">
        <v>87</v>
      </c>
    </row>
    <row r="3" spans="1:12" x14ac:dyDescent="0.2">
      <c r="A3" s="5" t="s">
        <v>470</v>
      </c>
      <c r="B3" s="5" t="s">
        <v>570</v>
      </c>
      <c r="C3" s="5" t="s">
        <v>51</v>
      </c>
      <c r="D3" s="5" t="s">
        <v>571</v>
      </c>
      <c r="E3" s="5" t="s">
        <v>576</v>
      </c>
      <c r="F3" s="5" t="s">
        <v>349</v>
      </c>
      <c r="G3" s="5" t="s">
        <v>572</v>
      </c>
      <c r="H3" s="5" t="s">
        <v>573</v>
      </c>
      <c r="I3" s="5" t="s">
        <v>577</v>
      </c>
      <c r="J3" s="5" t="s">
        <v>578</v>
      </c>
      <c r="K3" s="5" t="s">
        <v>579</v>
      </c>
      <c r="L3" s="5" t="s">
        <v>580</v>
      </c>
    </row>
    <row r="4" spans="1:12" x14ac:dyDescent="0.2">
      <c r="A4" t="s">
        <v>694</v>
      </c>
      <c r="B4">
        <v>1</v>
      </c>
      <c r="C4" t="s">
        <v>624</v>
      </c>
    </row>
    <row r="5" spans="1:12" x14ac:dyDescent="0.2">
      <c r="A5" t="s">
        <v>695</v>
      </c>
      <c r="B5">
        <v>1</v>
      </c>
      <c r="C5" t="s">
        <v>624</v>
      </c>
    </row>
    <row r="6" spans="1:12" x14ac:dyDescent="0.2">
      <c r="A6" t="s">
        <v>696</v>
      </c>
      <c r="B6">
        <v>1</v>
      </c>
      <c r="C6" t="s">
        <v>624</v>
      </c>
    </row>
    <row r="7" spans="1:12" x14ac:dyDescent="0.2">
      <c r="A7" t="s">
        <v>697</v>
      </c>
      <c r="B7">
        <v>1</v>
      </c>
      <c r="C7" t="s">
        <v>624</v>
      </c>
    </row>
    <row r="8" spans="1:12" x14ac:dyDescent="0.2">
      <c r="A8" t="s">
        <v>698</v>
      </c>
      <c r="B8">
        <v>1</v>
      </c>
      <c r="C8" t="s">
        <v>624</v>
      </c>
    </row>
    <row r="9" spans="1:12" x14ac:dyDescent="0.2">
      <c r="A9" t="s">
        <v>699</v>
      </c>
      <c r="B9">
        <v>1</v>
      </c>
      <c r="C9" t="s">
        <v>624</v>
      </c>
    </row>
    <row r="10" spans="1:12" x14ac:dyDescent="0.2">
      <c r="A10" t="s">
        <v>700</v>
      </c>
      <c r="B10">
        <v>1</v>
      </c>
      <c r="C10" t="s">
        <v>624</v>
      </c>
    </row>
    <row r="11" spans="1:12" x14ac:dyDescent="0.2">
      <c r="A11" t="s">
        <v>701</v>
      </c>
      <c r="B11">
        <v>1</v>
      </c>
      <c r="C11" t="s">
        <v>624</v>
      </c>
    </row>
    <row r="12" spans="1:12" x14ac:dyDescent="0.2">
      <c r="A12" t="s">
        <v>702</v>
      </c>
      <c r="B12">
        <v>1</v>
      </c>
      <c r="C12" t="s">
        <v>624</v>
      </c>
    </row>
    <row r="13" spans="1:12" x14ac:dyDescent="0.2">
      <c r="A13" t="s">
        <v>703</v>
      </c>
      <c r="B13">
        <v>1</v>
      </c>
      <c r="C13" t="s">
        <v>624</v>
      </c>
    </row>
    <row r="14" spans="1:12" x14ac:dyDescent="0.2">
      <c r="A14" t="s">
        <v>704</v>
      </c>
      <c r="B14">
        <v>1</v>
      </c>
      <c r="C14" t="s">
        <v>624</v>
      </c>
    </row>
    <row r="15" spans="1:12" x14ac:dyDescent="0.2">
      <c r="A15" t="s">
        <v>705</v>
      </c>
      <c r="B15">
        <v>1</v>
      </c>
      <c r="C15" t="s">
        <v>624</v>
      </c>
    </row>
    <row r="16" spans="1:12" x14ac:dyDescent="0.2">
      <c r="A16" t="s">
        <v>706</v>
      </c>
      <c r="B16">
        <v>1</v>
      </c>
      <c r="C16" t="s">
        <v>624</v>
      </c>
    </row>
    <row r="17" spans="1:3" x14ac:dyDescent="0.2">
      <c r="A17" t="s">
        <v>707</v>
      </c>
      <c r="B17">
        <v>1</v>
      </c>
      <c r="C17" t="s">
        <v>624</v>
      </c>
    </row>
    <row r="18" spans="1:3" x14ac:dyDescent="0.2">
      <c r="A18" t="s">
        <v>708</v>
      </c>
      <c r="B18">
        <v>1</v>
      </c>
      <c r="C18" t="s">
        <v>624</v>
      </c>
    </row>
    <row r="19" spans="1:3" x14ac:dyDescent="0.2">
      <c r="A19" t="s">
        <v>709</v>
      </c>
      <c r="B19">
        <v>1</v>
      </c>
      <c r="C19" t="s">
        <v>624</v>
      </c>
    </row>
    <row r="20" spans="1:3" x14ac:dyDescent="0.2">
      <c r="A20" t="s">
        <v>710</v>
      </c>
      <c r="B20">
        <v>1</v>
      </c>
      <c r="C20" t="s">
        <v>624</v>
      </c>
    </row>
    <row r="21" spans="1:3" x14ac:dyDescent="0.2">
      <c r="A21" t="s">
        <v>711</v>
      </c>
      <c r="B21">
        <v>1</v>
      </c>
      <c r="C21" t="s">
        <v>624</v>
      </c>
    </row>
    <row r="22" spans="1:3" x14ac:dyDescent="0.2">
      <c r="A22" t="s">
        <v>712</v>
      </c>
      <c r="B22">
        <v>1</v>
      </c>
      <c r="C22" t="s">
        <v>624</v>
      </c>
    </row>
    <row r="23" spans="1:3" x14ac:dyDescent="0.2">
      <c r="A23" t="s">
        <v>713</v>
      </c>
      <c r="B23">
        <v>1</v>
      </c>
      <c r="C23" t="s">
        <v>624</v>
      </c>
    </row>
    <row r="24" spans="1:3" x14ac:dyDescent="0.2">
      <c r="A24" t="s">
        <v>714</v>
      </c>
      <c r="B24">
        <v>1</v>
      </c>
      <c r="C24" t="s">
        <v>624</v>
      </c>
    </row>
    <row r="25" spans="1:3" x14ac:dyDescent="0.2">
      <c r="A25" t="s">
        <v>715</v>
      </c>
      <c r="B25">
        <v>1</v>
      </c>
      <c r="C25" t="s">
        <v>624</v>
      </c>
    </row>
    <row r="26" spans="1:3" x14ac:dyDescent="0.2">
      <c r="A26" t="s">
        <v>716</v>
      </c>
      <c r="B26">
        <v>1</v>
      </c>
      <c r="C26" t="s">
        <v>624</v>
      </c>
    </row>
    <row r="27" spans="1:3" x14ac:dyDescent="0.2">
      <c r="A27" t="s">
        <v>717</v>
      </c>
      <c r="B27">
        <v>1</v>
      </c>
      <c r="C27" t="s">
        <v>624</v>
      </c>
    </row>
    <row r="28" spans="1:3" x14ac:dyDescent="0.2">
      <c r="A28" t="s">
        <v>718</v>
      </c>
      <c r="B28">
        <v>1</v>
      </c>
      <c r="C28" t="s">
        <v>624</v>
      </c>
    </row>
    <row r="29" spans="1:3" x14ac:dyDescent="0.2">
      <c r="A29" t="s">
        <v>719</v>
      </c>
      <c r="B29">
        <v>1</v>
      </c>
      <c r="C29" t="s">
        <v>624</v>
      </c>
    </row>
    <row r="30" spans="1:3" x14ac:dyDescent="0.2">
      <c r="A30" t="s">
        <v>720</v>
      </c>
      <c r="B30">
        <v>1</v>
      </c>
      <c r="C30" t="s">
        <v>624</v>
      </c>
    </row>
    <row r="31" spans="1:3" x14ac:dyDescent="0.2">
      <c r="A31" t="s">
        <v>721</v>
      </c>
      <c r="B31">
        <v>1</v>
      </c>
      <c r="C31" t="s">
        <v>624</v>
      </c>
    </row>
    <row r="32" spans="1:3" x14ac:dyDescent="0.2">
      <c r="A32" t="s">
        <v>722</v>
      </c>
      <c r="B32">
        <v>1</v>
      </c>
      <c r="C32" t="s">
        <v>624</v>
      </c>
    </row>
    <row r="33" spans="1:3" x14ac:dyDescent="0.2">
      <c r="A33" t="s">
        <v>723</v>
      </c>
      <c r="B33">
        <v>1</v>
      </c>
      <c r="C33" t="s">
        <v>624</v>
      </c>
    </row>
    <row r="34" spans="1:3" x14ac:dyDescent="0.2">
      <c r="A34" t="s">
        <v>724</v>
      </c>
      <c r="B34">
        <v>1</v>
      </c>
      <c r="C34" t="s">
        <v>624</v>
      </c>
    </row>
    <row r="35" spans="1:3" x14ac:dyDescent="0.2">
      <c r="A35" t="s">
        <v>725</v>
      </c>
      <c r="B35">
        <v>1</v>
      </c>
      <c r="C35" t="s">
        <v>624</v>
      </c>
    </row>
    <row r="36" spans="1:3" x14ac:dyDescent="0.2">
      <c r="A36" t="s">
        <v>726</v>
      </c>
      <c r="B36">
        <v>1</v>
      </c>
      <c r="C36" t="s">
        <v>624</v>
      </c>
    </row>
    <row r="37" spans="1:3" x14ac:dyDescent="0.2">
      <c r="A37" t="s">
        <v>727</v>
      </c>
      <c r="B37">
        <v>1</v>
      </c>
      <c r="C37" t="s">
        <v>624</v>
      </c>
    </row>
    <row r="38" spans="1:3" x14ac:dyDescent="0.2">
      <c r="A38" t="s">
        <v>728</v>
      </c>
      <c r="B38">
        <v>1</v>
      </c>
      <c r="C38" t="s">
        <v>624</v>
      </c>
    </row>
    <row r="39" spans="1:3" x14ac:dyDescent="0.2">
      <c r="A39" t="s">
        <v>729</v>
      </c>
      <c r="B39">
        <v>1</v>
      </c>
      <c r="C39" t="s">
        <v>624</v>
      </c>
    </row>
    <row r="40" spans="1:3" x14ac:dyDescent="0.2">
      <c r="A40" t="s">
        <v>730</v>
      </c>
      <c r="B40">
        <v>1</v>
      </c>
      <c r="C40" t="s">
        <v>624</v>
      </c>
    </row>
    <row r="41" spans="1:3" x14ac:dyDescent="0.2">
      <c r="A41" t="s">
        <v>731</v>
      </c>
      <c r="B41">
        <v>1</v>
      </c>
      <c r="C41" t="s">
        <v>624</v>
      </c>
    </row>
    <row r="42" spans="1:3" x14ac:dyDescent="0.2">
      <c r="A42" t="s">
        <v>732</v>
      </c>
      <c r="B42">
        <v>1</v>
      </c>
      <c r="C42" t="s">
        <v>624</v>
      </c>
    </row>
    <row r="43" spans="1:3" x14ac:dyDescent="0.2">
      <c r="A43" t="s">
        <v>733</v>
      </c>
      <c r="B43">
        <v>1</v>
      </c>
      <c r="C43" t="s">
        <v>624</v>
      </c>
    </row>
    <row r="44" spans="1:3" x14ac:dyDescent="0.2">
      <c r="A44" t="s">
        <v>734</v>
      </c>
      <c r="B44">
        <v>1</v>
      </c>
      <c r="C44" t="s">
        <v>624</v>
      </c>
    </row>
    <row r="45" spans="1:3" x14ac:dyDescent="0.2">
      <c r="A45" t="s">
        <v>735</v>
      </c>
      <c r="B45">
        <v>1</v>
      </c>
      <c r="C45" t="s">
        <v>624</v>
      </c>
    </row>
    <row r="46" spans="1:3" x14ac:dyDescent="0.2">
      <c r="A46" t="s">
        <v>736</v>
      </c>
      <c r="B46">
        <v>1</v>
      </c>
      <c r="C46" t="s">
        <v>624</v>
      </c>
    </row>
    <row r="47" spans="1:3" x14ac:dyDescent="0.2">
      <c r="A47" t="s">
        <v>737</v>
      </c>
      <c r="B47">
        <v>1</v>
      </c>
      <c r="C47" t="s">
        <v>624</v>
      </c>
    </row>
    <row r="48" spans="1:3" x14ac:dyDescent="0.2">
      <c r="A48" t="s">
        <v>738</v>
      </c>
      <c r="B48">
        <v>1</v>
      </c>
      <c r="C48" t="s">
        <v>624</v>
      </c>
    </row>
    <row r="49" spans="1:3" x14ac:dyDescent="0.2">
      <c r="A49" t="s">
        <v>739</v>
      </c>
      <c r="B49">
        <v>1</v>
      </c>
      <c r="C49" t="s">
        <v>624</v>
      </c>
    </row>
    <row r="50" spans="1:3" x14ac:dyDescent="0.2">
      <c r="A50" t="s">
        <v>740</v>
      </c>
      <c r="B50">
        <v>1</v>
      </c>
      <c r="C50" t="s">
        <v>624</v>
      </c>
    </row>
    <row r="51" spans="1:3" x14ac:dyDescent="0.2">
      <c r="A51" t="s">
        <v>741</v>
      </c>
      <c r="B51">
        <v>1</v>
      </c>
      <c r="C51" t="s">
        <v>624</v>
      </c>
    </row>
    <row r="52" spans="1:3" x14ac:dyDescent="0.2">
      <c r="A52" t="s">
        <v>742</v>
      </c>
      <c r="B52">
        <v>1</v>
      </c>
      <c r="C52" t="s">
        <v>624</v>
      </c>
    </row>
    <row r="53" spans="1:3" x14ac:dyDescent="0.2">
      <c r="A53" t="s">
        <v>743</v>
      </c>
      <c r="B53">
        <v>1</v>
      </c>
      <c r="C53" t="s">
        <v>624</v>
      </c>
    </row>
    <row r="54" spans="1:3" x14ac:dyDescent="0.2">
      <c r="A54" t="s">
        <v>744</v>
      </c>
      <c r="B54">
        <v>1</v>
      </c>
      <c r="C54" t="s">
        <v>624</v>
      </c>
    </row>
    <row r="55" spans="1:3" x14ac:dyDescent="0.2">
      <c r="A55" t="s">
        <v>745</v>
      </c>
      <c r="B55">
        <v>1</v>
      </c>
      <c r="C55" t="s">
        <v>624</v>
      </c>
    </row>
    <row r="56" spans="1:3" x14ac:dyDescent="0.2">
      <c r="A56" t="s">
        <v>746</v>
      </c>
      <c r="B56">
        <v>1</v>
      </c>
      <c r="C56" t="s">
        <v>624</v>
      </c>
    </row>
    <row r="57" spans="1:3" x14ac:dyDescent="0.2">
      <c r="A57" t="s">
        <v>747</v>
      </c>
      <c r="B57">
        <v>1</v>
      </c>
      <c r="C57" t="s">
        <v>624</v>
      </c>
    </row>
    <row r="58" spans="1:3" x14ac:dyDescent="0.2">
      <c r="A58" t="s">
        <v>748</v>
      </c>
      <c r="B58">
        <v>1</v>
      </c>
      <c r="C58" t="s">
        <v>624</v>
      </c>
    </row>
    <row r="59" spans="1:3" x14ac:dyDescent="0.2">
      <c r="A59" t="s">
        <v>749</v>
      </c>
      <c r="B59">
        <v>1</v>
      </c>
      <c r="C59" t="s">
        <v>624</v>
      </c>
    </row>
    <row r="60" spans="1:3" x14ac:dyDescent="0.2">
      <c r="A60" t="s">
        <v>750</v>
      </c>
      <c r="B60">
        <v>1</v>
      </c>
      <c r="C60" t="s">
        <v>624</v>
      </c>
    </row>
    <row r="61" spans="1:3" x14ac:dyDescent="0.2">
      <c r="A61" t="s">
        <v>751</v>
      </c>
      <c r="B61">
        <v>1</v>
      </c>
      <c r="C61" t="s">
        <v>624</v>
      </c>
    </row>
    <row r="62" spans="1:3" x14ac:dyDescent="0.2">
      <c r="A62" t="s">
        <v>752</v>
      </c>
      <c r="B62">
        <v>1</v>
      </c>
      <c r="C62" t="s">
        <v>624</v>
      </c>
    </row>
    <row r="63" spans="1:3" x14ac:dyDescent="0.2">
      <c r="A63" t="s">
        <v>753</v>
      </c>
      <c r="B63">
        <v>1</v>
      </c>
      <c r="C63" t="s">
        <v>624</v>
      </c>
    </row>
    <row r="64" spans="1:3" x14ac:dyDescent="0.2">
      <c r="A64" t="s">
        <v>754</v>
      </c>
      <c r="B64">
        <v>1</v>
      </c>
      <c r="C64" t="s">
        <v>624</v>
      </c>
    </row>
    <row r="65" spans="1:3" x14ac:dyDescent="0.2">
      <c r="A65" t="s">
        <v>755</v>
      </c>
      <c r="B65">
        <v>1</v>
      </c>
      <c r="C65" t="s">
        <v>624</v>
      </c>
    </row>
    <row r="66" spans="1:3" x14ac:dyDescent="0.2">
      <c r="A66" t="s">
        <v>756</v>
      </c>
      <c r="B66">
        <v>1</v>
      </c>
      <c r="C66" t="s">
        <v>624</v>
      </c>
    </row>
    <row r="67" spans="1:3" x14ac:dyDescent="0.2">
      <c r="A67" t="s">
        <v>757</v>
      </c>
      <c r="B67">
        <v>1</v>
      </c>
      <c r="C67" t="s">
        <v>624</v>
      </c>
    </row>
    <row r="68" spans="1:3" x14ac:dyDescent="0.2">
      <c r="A68" t="s">
        <v>758</v>
      </c>
      <c r="B68">
        <v>1</v>
      </c>
      <c r="C68" t="s">
        <v>624</v>
      </c>
    </row>
    <row r="69" spans="1:3" x14ac:dyDescent="0.2">
      <c r="A69" t="s">
        <v>759</v>
      </c>
      <c r="B69">
        <v>1</v>
      </c>
      <c r="C69" t="s">
        <v>624</v>
      </c>
    </row>
    <row r="70" spans="1:3" x14ac:dyDescent="0.2">
      <c r="A70" t="s">
        <v>760</v>
      </c>
      <c r="B70">
        <v>1</v>
      </c>
      <c r="C70" t="s">
        <v>624</v>
      </c>
    </row>
    <row r="71" spans="1:3" x14ac:dyDescent="0.2">
      <c r="A71" t="s">
        <v>761</v>
      </c>
      <c r="B71">
        <v>1</v>
      </c>
      <c r="C71" t="s">
        <v>624</v>
      </c>
    </row>
    <row r="72" spans="1:3" x14ac:dyDescent="0.2">
      <c r="A72" t="s">
        <v>762</v>
      </c>
      <c r="B72">
        <v>1</v>
      </c>
      <c r="C72" t="s">
        <v>624</v>
      </c>
    </row>
    <row r="73" spans="1:3" x14ac:dyDescent="0.2">
      <c r="A73" t="s">
        <v>763</v>
      </c>
      <c r="B73">
        <v>1</v>
      </c>
      <c r="C73" t="s">
        <v>624</v>
      </c>
    </row>
    <row r="74" spans="1:3" x14ac:dyDescent="0.2">
      <c r="A74" t="s">
        <v>764</v>
      </c>
      <c r="B74">
        <v>1</v>
      </c>
      <c r="C74" t="s">
        <v>624</v>
      </c>
    </row>
    <row r="75" spans="1:3" x14ac:dyDescent="0.2">
      <c r="A75" t="s">
        <v>765</v>
      </c>
      <c r="B75">
        <v>1</v>
      </c>
      <c r="C75" t="s">
        <v>624</v>
      </c>
    </row>
    <row r="76" spans="1:3" x14ac:dyDescent="0.2">
      <c r="A76" t="s">
        <v>766</v>
      </c>
      <c r="B76">
        <v>1</v>
      </c>
      <c r="C76" t="s">
        <v>624</v>
      </c>
    </row>
    <row r="77" spans="1:3" x14ac:dyDescent="0.2">
      <c r="A77" t="s">
        <v>767</v>
      </c>
      <c r="B77">
        <v>1</v>
      </c>
      <c r="C77" t="s">
        <v>624</v>
      </c>
    </row>
    <row r="78" spans="1:3" x14ac:dyDescent="0.2">
      <c r="A78" t="s">
        <v>768</v>
      </c>
      <c r="B78">
        <v>1</v>
      </c>
      <c r="C78" t="s">
        <v>624</v>
      </c>
    </row>
    <row r="79" spans="1:3" x14ac:dyDescent="0.2">
      <c r="A79" t="s">
        <v>769</v>
      </c>
      <c r="B79">
        <v>1</v>
      </c>
      <c r="C79" t="s">
        <v>624</v>
      </c>
    </row>
    <row r="80" spans="1:3" x14ac:dyDescent="0.2">
      <c r="A80" t="s">
        <v>770</v>
      </c>
      <c r="B80">
        <v>1</v>
      </c>
      <c r="C80" t="s">
        <v>624</v>
      </c>
    </row>
    <row r="81" spans="1:3" x14ac:dyDescent="0.2">
      <c r="A81" t="s">
        <v>771</v>
      </c>
      <c r="B81">
        <v>1</v>
      </c>
      <c r="C81" t="s">
        <v>624</v>
      </c>
    </row>
    <row r="82" spans="1:3" x14ac:dyDescent="0.2">
      <c r="A82" t="s">
        <v>772</v>
      </c>
      <c r="B82">
        <v>1</v>
      </c>
      <c r="C82" t="s">
        <v>624</v>
      </c>
    </row>
    <row r="83" spans="1:3" x14ac:dyDescent="0.2">
      <c r="A83" t="s">
        <v>773</v>
      </c>
      <c r="B83">
        <v>1</v>
      </c>
      <c r="C83" t="s">
        <v>624</v>
      </c>
    </row>
    <row r="84" spans="1:3" x14ac:dyDescent="0.2">
      <c r="A84" t="s">
        <v>774</v>
      </c>
      <c r="B84">
        <v>1</v>
      </c>
      <c r="C84" t="s">
        <v>624</v>
      </c>
    </row>
    <row r="85" spans="1:3" x14ac:dyDescent="0.2">
      <c r="A85" t="s">
        <v>775</v>
      </c>
      <c r="B85">
        <v>1</v>
      </c>
      <c r="C85" t="s">
        <v>624</v>
      </c>
    </row>
    <row r="86" spans="1:3" x14ac:dyDescent="0.2">
      <c r="A86" t="s">
        <v>776</v>
      </c>
      <c r="B86">
        <v>1</v>
      </c>
      <c r="C86" t="s">
        <v>624</v>
      </c>
    </row>
    <row r="87" spans="1:3" x14ac:dyDescent="0.2">
      <c r="A87" t="s">
        <v>777</v>
      </c>
      <c r="B87">
        <v>1</v>
      </c>
      <c r="C87" t="s">
        <v>624</v>
      </c>
    </row>
    <row r="88" spans="1:3" x14ac:dyDescent="0.2">
      <c r="A88" t="s">
        <v>778</v>
      </c>
      <c r="B88">
        <v>1</v>
      </c>
      <c r="C88" t="s">
        <v>624</v>
      </c>
    </row>
    <row r="89" spans="1:3" x14ac:dyDescent="0.2">
      <c r="A89" t="s">
        <v>779</v>
      </c>
      <c r="B89">
        <v>1</v>
      </c>
      <c r="C89" t="s">
        <v>624</v>
      </c>
    </row>
    <row r="90" spans="1:3" x14ac:dyDescent="0.2">
      <c r="A90" t="s">
        <v>780</v>
      </c>
      <c r="B90">
        <v>1</v>
      </c>
      <c r="C90" t="s">
        <v>624</v>
      </c>
    </row>
    <row r="91" spans="1:3" x14ac:dyDescent="0.2">
      <c r="A91" t="s">
        <v>781</v>
      </c>
      <c r="B91">
        <v>1</v>
      </c>
      <c r="C91" t="s">
        <v>624</v>
      </c>
    </row>
    <row r="92" spans="1:3" x14ac:dyDescent="0.2">
      <c r="A92" t="s">
        <v>782</v>
      </c>
      <c r="B92">
        <v>1</v>
      </c>
      <c r="C92" t="s">
        <v>624</v>
      </c>
    </row>
    <row r="93" spans="1:3" x14ac:dyDescent="0.2">
      <c r="A93" t="s">
        <v>783</v>
      </c>
      <c r="B93">
        <v>1</v>
      </c>
      <c r="C93" t="s">
        <v>624</v>
      </c>
    </row>
    <row r="94" spans="1:3" x14ac:dyDescent="0.2">
      <c r="A94" t="s">
        <v>784</v>
      </c>
      <c r="B94">
        <v>1</v>
      </c>
      <c r="C94" t="s">
        <v>624</v>
      </c>
    </row>
    <row r="95" spans="1:3" x14ac:dyDescent="0.2">
      <c r="A95" t="s">
        <v>785</v>
      </c>
      <c r="B95">
        <v>1</v>
      </c>
      <c r="C95" t="s">
        <v>624</v>
      </c>
    </row>
    <row r="96" spans="1:3" x14ac:dyDescent="0.2">
      <c r="A96" t="s">
        <v>786</v>
      </c>
      <c r="B96">
        <v>1</v>
      </c>
      <c r="C96" t="s">
        <v>624</v>
      </c>
    </row>
    <row r="97" spans="1:3" x14ac:dyDescent="0.2">
      <c r="A97" t="s">
        <v>787</v>
      </c>
      <c r="B97">
        <v>1</v>
      </c>
      <c r="C97" t="s">
        <v>624</v>
      </c>
    </row>
    <row r="98" spans="1:3" x14ac:dyDescent="0.2">
      <c r="A98" t="s">
        <v>788</v>
      </c>
      <c r="B98">
        <v>1</v>
      </c>
      <c r="C98" t="s">
        <v>624</v>
      </c>
    </row>
    <row r="99" spans="1:3" x14ac:dyDescent="0.2">
      <c r="A99" t="s">
        <v>789</v>
      </c>
      <c r="B99">
        <v>1</v>
      </c>
      <c r="C99" t="s">
        <v>624</v>
      </c>
    </row>
    <row r="100" spans="1:3" x14ac:dyDescent="0.2">
      <c r="A100" t="s">
        <v>790</v>
      </c>
      <c r="B100">
        <v>1</v>
      </c>
      <c r="C100" t="s">
        <v>624</v>
      </c>
    </row>
    <row r="101" spans="1:3" x14ac:dyDescent="0.2">
      <c r="A101" t="s">
        <v>791</v>
      </c>
      <c r="B101">
        <v>1</v>
      </c>
      <c r="C101" t="s">
        <v>624</v>
      </c>
    </row>
    <row r="102" spans="1:3" x14ac:dyDescent="0.2">
      <c r="A102" t="s">
        <v>792</v>
      </c>
      <c r="B102">
        <v>1</v>
      </c>
      <c r="C102" t="s">
        <v>624</v>
      </c>
    </row>
    <row r="103" spans="1:3" x14ac:dyDescent="0.2">
      <c r="A103" t="s">
        <v>793</v>
      </c>
      <c r="B103">
        <v>1</v>
      </c>
      <c r="C103" t="s">
        <v>624</v>
      </c>
    </row>
    <row r="104" spans="1:3" x14ac:dyDescent="0.2">
      <c r="A104" t="s">
        <v>794</v>
      </c>
      <c r="B104">
        <v>1</v>
      </c>
      <c r="C104" t="s">
        <v>624</v>
      </c>
    </row>
    <row r="105" spans="1:3" x14ac:dyDescent="0.2">
      <c r="A105" t="s">
        <v>795</v>
      </c>
      <c r="B105">
        <v>1</v>
      </c>
      <c r="C105" t="s">
        <v>624</v>
      </c>
    </row>
    <row r="106" spans="1:3" x14ac:dyDescent="0.2">
      <c r="A106" t="s">
        <v>796</v>
      </c>
      <c r="B106">
        <v>1</v>
      </c>
      <c r="C106" t="s">
        <v>624</v>
      </c>
    </row>
    <row r="107" spans="1:3" x14ac:dyDescent="0.2">
      <c r="A107" t="s">
        <v>797</v>
      </c>
      <c r="B107">
        <v>1</v>
      </c>
      <c r="C107" t="s">
        <v>624</v>
      </c>
    </row>
    <row r="108" spans="1:3" x14ac:dyDescent="0.2">
      <c r="A108" t="s">
        <v>798</v>
      </c>
      <c r="B108">
        <v>1</v>
      </c>
      <c r="C108" t="s">
        <v>624</v>
      </c>
    </row>
    <row r="109" spans="1:3" x14ac:dyDescent="0.2">
      <c r="A109" t="s">
        <v>799</v>
      </c>
      <c r="B109">
        <v>1</v>
      </c>
      <c r="C109" t="s">
        <v>624</v>
      </c>
    </row>
    <row r="110" spans="1:3" x14ac:dyDescent="0.2">
      <c r="A110" t="s">
        <v>800</v>
      </c>
      <c r="B110">
        <v>1</v>
      </c>
      <c r="C110" t="s">
        <v>624</v>
      </c>
    </row>
    <row r="111" spans="1:3" x14ac:dyDescent="0.2">
      <c r="A111" t="s">
        <v>801</v>
      </c>
      <c r="B111">
        <v>1</v>
      </c>
      <c r="C111" t="s">
        <v>624</v>
      </c>
    </row>
    <row r="112" spans="1:3" x14ac:dyDescent="0.2">
      <c r="A112" t="s">
        <v>802</v>
      </c>
      <c r="B112">
        <v>1</v>
      </c>
      <c r="C112" t="s">
        <v>624</v>
      </c>
    </row>
    <row r="113" spans="1:3" x14ac:dyDescent="0.2">
      <c r="A113" t="s">
        <v>803</v>
      </c>
      <c r="B113">
        <v>1</v>
      </c>
      <c r="C113" t="s">
        <v>624</v>
      </c>
    </row>
    <row r="114" spans="1:3" x14ac:dyDescent="0.2">
      <c r="A114" t="s">
        <v>804</v>
      </c>
      <c r="B114">
        <v>1</v>
      </c>
      <c r="C114" t="s">
        <v>624</v>
      </c>
    </row>
    <row r="115" spans="1:3" x14ac:dyDescent="0.2">
      <c r="A115" t="s">
        <v>805</v>
      </c>
      <c r="B115">
        <v>1</v>
      </c>
      <c r="C115" t="s">
        <v>624</v>
      </c>
    </row>
    <row r="116" spans="1:3" x14ac:dyDescent="0.2">
      <c r="A116" t="s">
        <v>806</v>
      </c>
      <c r="B116">
        <v>1</v>
      </c>
      <c r="C116" t="s">
        <v>624</v>
      </c>
    </row>
    <row r="117" spans="1:3" x14ac:dyDescent="0.2">
      <c r="A117" t="s">
        <v>807</v>
      </c>
      <c r="B117">
        <v>1</v>
      </c>
      <c r="C117" t="s">
        <v>624</v>
      </c>
    </row>
    <row r="118" spans="1:3" x14ac:dyDescent="0.2">
      <c r="A118" t="s">
        <v>808</v>
      </c>
      <c r="B118">
        <v>1</v>
      </c>
      <c r="C118" t="s">
        <v>624</v>
      </c>
    </row>
    <row r="119" spans="1:3" x14ac:dyDescent="0.2">
      <c r="A119" t="s">
        <v>809</v>
      </c>
      <c r="B119">
        <v>1</v>
      </c>
      <c r="C119" t="s">
        <v>624</v>
      </c>
    </row>
    <row r="120" spans="1:3" x14ac:dyDescent="0.2">
      <c r="A120" t="s">
        <v>810</v>
      </c>
      <c r="B120">
        <v>1</v>
      </c>
      <c r="C120" t="s">
        <v>624</v>
      </c>
    </row>
    <row r="121" spans="1:3" x14ac:dyDescent="0.2">
      <c r="A121" t="s">
        <v>811</v>
      </c>
      <c r="B121">
        <v>1</v>
      </c>
      <c r="C121" t="s">
        <v>624</v>
      </c>
    </row>
    <row r="122" spans="1:3" x14ac:dyDescent="0.2">
      <c r="A122" t="s">
        <v>812</v>
      </c>
      <c r="B122">
        <v>1</v>
      </c>
      <c r="C122" t="s">
        <v>624</v>
      </c>
    </row>
    <row r="123" spans="1:3" x14ac:dyDescent="0.2">
      <c r="A123" t="s">
        <v>813</v>
      </c>
      <c r="B123">
        <v>1</v>
      </c>
      <c r="C123" t="s">
        <v>624</v>
      </c>
    </row>
    <row r="124" spans="1:3" x14ac:dyDescent="0.2">
      <c r="A124" t="s">
        <v>814</v>
      </c>
      <c r="B124">
        <v>1</v>
      </c>
      <c r="C124" t="s">
        <v>624</v>
      </c>
    </row>
    <row r="125" spans="1:3" x14ac:dyDescent="0.2">
      <c r="A125" t="s">
        <v>815</v>
      </c>
      <c r="B125">
        <v>1</v>
      </c>
      <c r="C125" t="s">
        <v>624</v>
      </c>
    </row>
    <row r="126" spans="1:3" x14ac:dyDescent="0.2">
      <c r="A126" t="s">
        <v>816</v>
      </c>
      <c r="B126">
        <v>1</v>
      </c>
      <c r="C126" t="s">
        <v>624</v>
      </c>
    </row>
    <row r="127" spans="1:3" x14ac:dyDescent="0.2">
      <c r="A127" t="s">
        <v>817</v>
      </c>
      <c r="B127">
        <v>1</v>
      </c>
      <c r="C127" t="s">
        <v>624</v>
      </c>
    </row>
    <row r="128" spans="1:3" x14ac:dyDescent="0.2">
      <c r="A128" t="s">
        <v>818</v>
      </c>
      <c r="B128">
        <v>1</v>
      </c>
      <c r="C128" t="s">
        <v>624</v>
      </c>
    </row>
    <row r="129" spans="1:3" x14ac:dyDescent="0.2">
      <c r="A129" t="s">
        <v>819</v>
      </c>
      <c r="B129">
        <v>1</v>
      </c>
      <c r="C129" t="s">
        <v>624</v>
      </c>
    </row>
    <row r="130" spans="1:3" x14ac:dyDescent="0.2">
      <c r="A130" t="s">
        <v>820</v>
      </c>
      <c r="B130">
        <v>1</v>
      </c>
      <c r="C130" t="s">
        <v>624</v>
      </c>
    </row>
    <row r="131" spans="1:3" x14ac:dyDescent="0.2">
      <c r="A131" t="s">
        <v>821</v>
      </c>
      <c r="B131">
        <v>1</v>
      </c>
      <c r="C131" t="s">
        <v>624</v>
      </c>
    </row>
    <row r="132" spans="1:3" x14ac:dyDescent="0.2">
      <c r="A132" t="s">
        <v>822</v>
      </c>
      <c r="B132">
        <v>1</v>
      </c>
      <c r="C132" t="s">
        <v>624</v>
      </c>
    </row>
    <row r="133" spans="1:3" x14ac:dyDescent="0.2">
      <c r="A133" t="s">
        <v>823</v>
      </c>
      <c r="B133">
        <v>1</v>
      </c>
      <c r="C133" t="s">
        <v>624</v>
      </c>
    </row>
    <row r="134" spans="1:3" x14ac:dyDescent="0.2">
      <c r="A134" t="s">
        <v>824</v>
      </c>
      <c r="B134">
        <v>1</v>
      </c>
      <c r="C134" t="s">
        <v>624</v>
      </c>
    </row>
    <row r="135" spans="1:3" x14ac:dyDescent="0.2">
      <c r="A135" t="s">
        <v>825</v>
      </c>
      <c r="B135">
        <v>1</v>
      </c>
      <c r="C135" t="s">
        <v>624</v>
      </c>
    </row>
    <row r="136" spans="1:3" x14ac:dyDescent="0.2">
      <c r="A136" t="s">
        <v>826</v>
      </c>
      <c r="B136">
        <v>1</v>
      </c>
      <c r="C136" t="s">
        <v>624</v>
      </c>
    </row>
    <row r="137" spans="1:3" x14ac:dyDescent="0.2">
      <c r="A137" t="s">
        <v>827</v>
      </c>
      <c r="B137">
        <v>1</v>
      </c>
      <c r="C137" t="s">
        <v>624</v>
      </c>
    </row>
    <row r="138" spans="1:3" x14ac:dyDescent="0.2">
      <c r="A138" t="s">
        <v>828</v>
      </c>
      <c r="B138">
        <v>1</v>
      </c>
      <c r="C138" t="s">
        <v>624</v>
      </c>
    </row>
    <row r="139" spans="1:3" x14ac:dyDescent="0.2">
      <c r="A139" t="s">
        <v>829</v>
      </c>
      <c r="B139">
        <v>1</v>
      </c>
      <c r="C139" t="s">
        <v>624</v>
      </c>
    </row>
    <row r="140" spans="1:3" x14ac:dyDescent="0.2">
      <c r="A140" t="s">
        <v>830</v>
      </c>
      <c r="B140">
        <v>1</v>
      </c>
      <c r="C140" t="s">
        <v>624</v>
      </c>
    </row>
    <row r="141" spans="1:3" x14ac:dyDescent="0.2">
      <c r="A141" t="s">
        <v>831</v>
      </c>
      <c r="B141">
        <v>1</v>
      </c>
      <c r="C141" t="s">
        <v>624</v>
      </c>
    </row>
    <row r="142" spans="1:3" x14ac:dyDescent="0.2">
      <c r="A142" t="s">
        <v>832</v>
      </c>
      <c r="B142">
        <v>1</v>
      </c>
      <c r="C142" t="s">
        <v>624</v>
      </c>
    </row>
    <row r="143" spans="1:3" x14ac:dyDescent="0.2">
      <c r="A143" t="s">
        <v>833</v>
      </c>
      <c r="B143">
        <v>1</v>
      </c>
      <c r="C143" t="s">
        <v>624</v>
      </c>
    </row>
    <row r="144" spans="1:3" x14ac:dyDescent="0.2">
      <c r="A144" t="s">
        <v>834</v>
      </c>
      <c r="B144">
        <v>1</v>
      </c>
      <c r="C144" t="s">
        <v>624</v>
      </c>
    </row>
    <row r="145" spans="1:3" x14ac:dyDescent="0.2">
      <c r="A145" t="s">
        <v>835</v>
      </c>
      <c r="B145">
        <v>1</v>
      </c>
      <c r="C145" t="s">
        <v>624</v>
      </c>
    </row>
    <row r="146" spans="1:3" x14ac:dyDescent="0.2">
      <c r="A146" t="s">
        <v>836</v>
      </c>
      <c r="B146">
        <v>1</v>
      </c>
      <c r="C146" t="s">
        <v>624</v>
      </c>
    </row>
    <row r="147" spans="1:3" x14ac:dyDescent="0.2">
      <c r="A147" t="s">
        <v>837</v>
      </c>
      <c r="B147">
        <v>1</v>
      </c>
      <c r="C147" t="s">
        <v>624</v>
      </c>
    </row>
    <row r="148" spans="1:3" x14ac:dyDescent="0.2">
      <c r="A148" t="s">
        <v>838</v>
      </c>
      <c r="B148">
        <v>1</v>
      </c>
      <c r="C148" t="s">
        <v>624</v>
      </c>
    </row>
    <row r="149" spans="1:3" x14ac:dyDescent="0.2">
      <c r="A149" t="s">
        <v>839</v>
      </c>
      <c r="B149">
        <v>1</v>
      </c>
      <c r="C149" t="s">
        <v>624</v>
      </c>
    </row>
    <row r="150" spans="1:3" x14ac:dyDescent="0.2">
      <c r="A150" t="s">
        <v>840</v>
      </c>
      <c r="B150">
        <v>1</v>
      </c>
      <c r="C150" t="s">
        <v>624</v>
      </c>
    </row>
    <row r="151" spans="1:3" x14ac:dyDescent="0.2">
      <c r="A151" t="s">
        <v>841</v>
      </c>
      <c r="B151">
        <v>1</v>
      </c>
      <c r="C151" t="s">
        <v>624</v>
      </c>
    </row>
    <row r="152" spans="1:3" x14ac:dyDescent="0.2">
      <c r="A152" t="s">
        <v>842</v>
      </c>
      <c r="B152">
        <v>1</v>
      </c>
      <c r="C152" t="s">
        <v>624</v>
      </c>
    </row>
    <row r="153" spans="1:3" x14ac:dyDescent="0.2">
      <c r="A153" t="s">
        <v>843</v>
      </c>
      <c r="B153">
        <v>1</v>
      </c>
      <c r="C153" t="s">
        <v>624</v>
      </c>
    </row>
    <row r="154" spans="1:3" x14ac:dyDescent="0.2">
      <c r="A154" t="s">
        <v>844</v>
      </c>
      <c r="B154">
        <v>1</v>
      </c>
      <c r="C154" t="s">
        <v>624</v>
      </c>
    </row>
    <row r="155" spans="1:3" x14ac:dyDescent="0.2">
      <c r="A155" t="s">
        <v>845</v>
      </c>
      <c r="B155">
        <v>1</v>
      </c>
      <c r="C155" t="s">
        <v>624</v>
      </c>
    </row>
    <row r="156" spans="1:3" x14ac:dyDescent="0.2">
      <c r="A156" t="s">
        <v>846</v>
      </c>
      <c r="B156">
        <v>1</v>
      </c>
      <c r="C156" t="s">
        <v>624</v>
      </c>
    </row>
    <row r="157" spans="1:3" x14ac:dyDescent="0.2">
      <c r="A157" t="s">
        <v>847</v>
      </c>
      <c r="B157">
        <v>1</v>
      </c>
      <c r="C157" t="s">
        <v>624</v>
      </c>
    </row>
    <row r="158" spans="1:3" x14ac:dyDescent="0.2">
      <c r="A158" t="s">
        <v>848</v>
      </c>
      <c r="B158">
        <v>1</v>
      </c>
      <c r="C158" t="s">
        <v>624</v>
      </c>
    </row>
    <row r="159" spans="1:3" x14ac:dyDescent="0.2">
      <c r="A159" t="s">
        <v>849</v>
      </c>
      <c r="B159">
        <v>1</v>
      </c>
      <c r="C159" t="s">
        <v>624</v>
      </c>
    </row>
    <row r="160" spans="1:3" x14ac:dyDescent="0.2">
      <c r="A160" t="s">
        <v>850</v>
      </c>
      <c r="B160">
        <v>1</v>
      </c>
      <c r="C160" t="s">
        <v>624</v>
      </c>
    </row>
    <row r="161" spans="1:3" x14ac:dyDescent="0.2">
      <c r="A161" t="s">
        <v>851</v>
      </c>
      <c r="B161">
        <v>1</v>
      </c>
      <c r="C161" t="s">
        <v>624</v>
      </c>
    </row>
    <row r="162" spans="1:3" x14ac:dyDescent="0.2">
      <c r="A162" t="s">
        <v>852</v>
      </c>
      <c r="B162">
        <v>1</v>
      </c>
      <c r="C162" t="s">
        <v>624</v>
      </c>
    </row>
    <row r="163" spans="1:3" x14ac:dyDescent="0.2">
      <c r="A163" t="s">
        <v>853</v>
      </c>
      <c r="B163">
        <v>1</v>
      </c>
      <c r="C163" t="s">
        <v>624</v>
      </c>
    </row>
    <row r="164" spans="1:3" x14ac:dyDescent="0.2">
      <c r="A164" t="s">
        <v>854</v>
      </c>
      <c r="B164">
        <v>1</v>
      </c>
      <c r="C164" t="s">
        <v>624</v>
      </c>
    </row>
    <row r="165" spans="1:3" x14ac:dyDescent="0.2">
      <c r="A165" t="s">
        <v>855</v>
      </c>
      <c r="B165">
        <v>1</v>
      </c>
      <c r="C165" t="s">
        <v>624</v>
      </c>
    </row>
    <row r="166" spans="1:3" x14ac:dyDescent="0.2">
      <c r="A166" t="s">
        <v>856</v>
      </c>
      <c r="B166">
        <v>1</v>
      </c>
      <c r="C166" t="s">
        <v>624</v>
      </c>
    </row>
    <row r="167" spans="1:3" x14ac:dyDescent="0.2">
      <c r="A167" t="s">
        <v>857</v>
      </c>
      <c r="B167">
        <v>1</v>
      </c>
      <c r="C167" t="s">
        <v>624</v>
      </c>
    </row>
    <row r="168" spans="1:3" x14ac:dyDescent="0.2">
      <c r="A168" t="s">
        <v>858</v>
      </c>
      <c r="B168">
        <v>1</v>
      </c>
      <c r="C168" t="s">
        <v>624</v>
      </c>
    </row>
    <row r="169" spans="1:3" x14ac:dyDescent="0.2">
      <c r="A169" t="s">
        <v>859</v>
      </c>
      <c r="B169">
        <v>1</v>
      </c>
      <c r="C169" t="s">
        <v>624</v>
      </c>
    </row>
    <row r="170" spans="1:3" x14ac:dyDescent="0.2">
      <c r="A170" t="s">
        <v>860</v>
      </c>
      <c r="B170">
        <v>1</v>
      </c>
      <c r="C170" t="s">
        <v>624</v>
      </c>
    </row>
    <row r="171" spans="1:3" x14ac:dyDescent="0.2">
      <c r="A171" t="s">
        <v>861</v>
      </c>
      <c r="B171">
        <v>1</v>
      </c>
      <c r="C171" t="s">
        <v>624</v>
      </c>
    </row>
    <row r="172" spans="1:3" x14ac:dyDescent="0.2">
      <c r="A172" t="s">
        <v>862</v>
      </c>
      <c r="B172">
        <v>1</v>
      </c>
      <c r="C172" t="s">
        <v>624</v>
      </c>
    </row>
    <row r="173" spans="1:3" x14ac:dyDescent="0.2">
      <c r="A173" t="s">
        <v>863</v>
      </c>
      <c r="B173">
        <v>1</v>
      </c>
      <c r="C173" t="s">
        <v>624</v>
      </c>
    </row>
    <row r="174" spans="1:3" x14ac:dyDescent="0.2">
      <c r="A174" t="s">
        <v>864</v>
      </c>
      <c r="B174">
        <v>1</v>
      </c>
      <c r="C174" t="s">
        <v>624</v>
      </c>
    </row>
    <row r="175" spans="1:3" x14ac:dyDescent="0.2">
      <c r="A175" t="s">
        <v>679</v>
      </c>
      <c r="B175">
        <v>1</v>
      </c>
      <c r="C175" t="s">
        <v>624</v>
      </c>
    </row>
    <row r="176" spans="1:3" x14ac:dyDescent="0.2">
      <c r="A176" t="s">
        <v>680</v>
      </c>
      <c r="B176">
        <v>1</v>
      </c>
      <c r="C176" t="s">
        <v>624</v>
      </c>
    </row>
    <row r="177" spans="1:3" x14ac:dyDescent="0.2">
      <c r="A177" t="s">
        <v>681</v>
      </c>
      <c r="B177">
        <v>1</v>
      </c>
      <c r="C177" t="s">
        <v>624</v>
      </c>
    </row>
    <row r="178" spans="1:3" x14ac:dyDescent="0.2">
      <c r="A178" t="s">
        <v>682</v>
      </c>
      <c r="B178">
        <v>1</v>
      </c>
      <c r="C178" t="s">
        <v>624</v>
      </c>
    </row>
    <row r="179" spans="1:3" x14ac:dyDescent="0.2">
      <c r="A179" t="s">
        <v>683</v>
      </c>
      <c r="B179">
        <v>1</v>
      </c>
      <c r="C179" t="s">
        <v>624</v>
      </c>
    </row>
    <row r="180" spans="1:3" x14ac:dyDescent="0.2">
      <c r="A180" t="s">
        <v>684</v>
      </c>
      <c r="B180">
        <v>1</v>
      </c>
      <c r="C180" t="s">
        <v>624</v>
      </c>
    </row>
    <row r="181" spans="1:3" x14ac:dyDescent="0.2">
      <c r="A181" t="s">
        <v>685</v>
      </c>
      <c r="B181">
        <v>1</v>
      </c>
      <c r="C181" t="s">
        <v>624</v>
      </c>
    </row>
    <row r="182" spans="1:3" x14ac:dyDescent="0.2">
      <c r="A182" t="s">
        <v>658</v>
      </c>
      <c r="B182">
        <v>1</v>
      </c>
      <c r="C182" t="s">
        <v>624</v>
      </c>
    </row>
    <row r="183" spans="1:3" x14ac:dyDescent="0.2">
      <c r="A183" t="s">
        <v>659</v>
      </c>
      <c r="B183">
        <v>1</v>
      </c>
      <c r="C183" t="s">
        <v>624</v>
      </c>
    </row>
    <row r="184" spans="1:3" x14ac:dyDescent="0.2">
      <c r="A184" t="s">
        <v>686</v>
      </c>
      <c r="B184">
        <v>1</v>
      </c>
      <c r="C184" t="s">
        <v>624</v>
      </c>
    </row>
    <row r="185" spans="1:3" x14ac:dyDescent="0.2">
      <c r="A185" t="s">
        <v>687</v>
      </c>
      <c r="B185">
        <v>1</v>
      </c>
      <c r="C185" t="s">
        <v>624</v>
      </c>
    </row>
    <row r="186" spans="1:3" x14ac:dyDescent="0.2">
      <c r="A186" t="s">
        <v>688</v>
      </c>
      <c r="B186">
        <v>1</v>
      </c>
      <c r="C186" t="s">
        <v>624</v>
      </c>
    </row>
    <row r="187" spans="1:3" x14ac:dyDescent="0.2">
      <c r="A187" t="s">
        <v>689</v>
      </c>
      <c r="B187">
        <v>1</v>
      </c>
      <c r="C187" t="s">
        <v>624</v>
      </c>
    </row>
    <row r="188" spans="1:3" x14ac:dyDescent="0.2">
      <c r="A188" t="s">
        <v>690</v>
      </c>
      <c r="B188">
        <v>1</v>
      </c>
      <c r="C188" t="s">
        <v>624</v>
      </c>
    </row>
    <row r="189" spans="1:3" x14ac:dyDescent="0.2">
      <c r="A189" t="s">
        <v>691</v>
      </c>
      <c r="B189">
        <v>1</v>
      </c>
      <c r="C189" t="s">
        <v>624</v>
      </c>
    </row>
    <row r="190" spans="1:3" x14ac:dyDescent="0.2">
      <c r="A190" t="s">
        <v>692</v>
      </c>
      <c r="B190">
        <v>1</v>
      </c>
      <c r="C190" t="s">
        <v>624</v>
      </c>
    </row>
    <row r="191" spans="1:3" x14ac:dyDescent="0.2">
      <c r="A191" t="s">
        <v>660</v>
      </c>
      <c r="B191">
        <v>1</v>
      </c>
      <c r="C191" t="s">
        <v>624</v>
      </c>
    </row>
    <row r="192" spans="1:3" x14ac:dyDescent="0.2">
      <c r="A192" t="s">
        <v>661</v>
      </c>
      <c r="B192">
        <v>1</v>
      </c>
      <c r="C192" t="s">
        <v>624</v>
      </c>
    </row>
  </sheetData>
  <phoneticPr fontId="6" type="noConversion"/>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500-000000000000}">
          <x14:formula1>
            <xm:f>'Drop-down values'!$E$32:$K$32</xm:f>
          </x14:formula1>
          <xm:sqref>F4:F103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
  <sheetViews>
    <sheetView workbookViewId="0">
      <selection activeCell="F30" sqref="F30"/>
    </sheetView>
  </sheetViews>
  <sheetFormatPr baseColWidth="10" defaultRowHeight="15" x14ac:dyDescent="0.2"/>
  <sheetData>
    <row r="1" spans="1:6" x14ac:dyDescent="0.2">
      <c r="A1" t="s">
        <v>462</v>
      </c>
      <c r="B1" s="2" t="s">
        <v>29</v>
      </c>
      <c r="C1" s="3" t="s">
        <v>18</v>
      </c>
      <c r="D1" s="3" t="s">
        <v>18</v>
      </c>
      <c r="E1" s="3" t="s">
        <v>18</v>
      </c>
      <c r="F1" s="3" t="s">
        <v>18</v>
      </c>
    </row>
    <row r="2" spans="1:6" x14ac:dyDescent="0.2">
      <c r="A2" t="s">
        <v>463</v>
      </c>
      <c r="B2" t="s">
        <v>87</v>
      </c>
      <c r="C2" t="s">
        <v>87</v>
      </c>
      <c r="D2" t="s">
        <v>87</v>
      </c>
      <c r="E2" t="s">
        <v>87</v>
      </c>
      <c r="F2" t="s">
        <v>87</v>
      </c>
    </row>
    <row r="3" spans="1:6" x14ac:dyDescent="0.2">
      <c r="A3" s="5" t="s">
        <v>51</v>
      </c>
      <c r="B3" s="5" t="s">
        <v>581</v>
      </c>
      <c r="C3" s="5" t="s">
        <v>574</v>
      </c>
      <c r="D3" s="5" t="s">
        <v>361</v>
      </c>
      <c r="E3" s="5" t="s">
        <v>575</v>
      </c>
      <c r="F3" s="5" t="s">
        <v>362</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2">
        <x14:dataValidation type="list" allowBlank="1" showInputMessage="1" xr:uid="{00000000-0002-0000-0600-000000000000}">
          <x14:formula1>
            <xm:f>'Drop-down values'!$E$34:$K$34</xm:f>
          </x14:formula1>
          <xm:sqref>D4:D103</xm:sqref>
        </x14:dataValidation>
        <x14:dataValidation type="list" allowBlank="1" showInputMessage="1" xr:uid="{00000000-0002-0000-0600-000001000000}">
          <x14:formula1>
            <xm:f>'Drop-down values'!$E$35:$H$35</xm:f>
          </x14:formula1>
          <xm:sqref>F4:F103</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192"/>
  <sheetViews>
    <sheetView tabSelected="1" zoomScale="89" zoomScaleNormal="89" workbookViewId="0">
      <selection activeCell="D14" sqref="D14"/>
    </sheetView>
  </sheetViews>
  <sheetFormatPr baseColWidth="10" defaultRowHeight="15" x14ac:dyDescent="0.2"/>
  <sheetData>
    <row r="1" spans="1:20" x14ac:dyDescent="0.2">
      <c r="A1" t="s">
        <v>462</v>
      </c>
      <c r="B1" s="1" t="s">
        <v>15</v>
      </c>
      <c r="C1" s="1" t="s">
        <v>15</v>
      </c>
      <c r="D1" s="1" t="s">
        <v>15</v>
      </c>
      <c r="E1" s="1" t="s">
        <v>15</v>
      </c>
      <c r="F1" s="3" t="s">
        <v>18</v>
      </c>
      <c r="G1" s="3" t="s">
        <v>18</v>
      </c>
      <c r="H1" s="3" t="s">
        <v>18</v>
      </c>
      <c r="I1" s="3" t="s">
        <v>18</v>
      </c>
      <c r="J1" s="4" t="s">
        <v>25</v>
      </c>
      <c r="K1" s="4" t="s">
        <v>25</v>
      </c>
      <c r="L1" s="3" t="s">
        <v>18</v>
      </c>
      <c r="M1" s="3" t="s">
        <v>18</v>
      </c>
      <c r="N1" s="3" t="s">
        <v>18</v>
      </c>
      <c r="O1" s="3" t="s">
        <v>18</v>
      </c>
      <c r="P1" s="3" t="s">
        <v>18</v>
      </c>
      <c r="Q1" s="3" t="s">
        <v>18</v>
      </c>
      <c r="R1" s="3" t="s">
        <v>18</v>
      </c>
      <c r="S1" s="3" t="s">
        <v>18</v>
      </c>
      <c r="T1" s="3" t="s">
        <v>18</v>
      </c>
    </row>
    <row r="2" spans="1:20" x14ac:dyDescent="0.2">
      <c r="A2" t="s">
        <v>463</v>
      </c>
      <c r="B2" t="s">
        <v>46</v>
      </c>
      <c r="C2" t="s">
        <v>46</v>
      </c>
      <c r="D2" t="s">
        <v>110</v>
      </c>
      <c r="E2" t="s">
        <v>110</v>
      </c>
      <c r="F2" t="s">
        <v>110</v>
      </c>
      <c r="G2" t="s">
        <v>110</v>
      </c>
      <c r="H2" t="s">
        <v>110</v>
      </c>
      <c r="I2" t="s">
        <v>110</v>
      </c>
      <c r="J2" t="s">
        <v>110</v>
      </c>
      <c r="K2" t="s">
        <v>110</v>
      </c>
      <c r="L2" t="s">
        <v>110</v>
      </c>
      <c r="M2" t="s">
        <v>110</v>
      </c>
      <c r="N2" t="s">
        <v>110</v>
      </c>
      <c r="O2" t="s">
        <v>110</v>
      </c>
      <c r="P2" t="s">
        <v>110</v>
      </c>
      <c r="Q2" t="s">
        <v>133</v>
      </c>
      <c r="R2" t="s">
        <v>133</v>
      </c>
      <c r="S2" t="s">
        <v>133</v>
      </c>
      <c r="T2" t="s">
        <v>133</v>
      </c>
    </row>
    <row r="3" spans="1:20" x14ac:dyDescent="0.2">
      <c r="A3" s="5" t="s">
        <v>470</v>
      </c>
      <c r="B3" s="5" t="s">
        <v>51</v>
      </c>
      <c r="C3" s="5" t="s">
        <v>571</v>
      </c>
      <c r="D3" s="5" t="s">
        <v>582</v>
      </c>
      <c r="E3" s="5" t="s">
        <v>583</v>
      </c>
      <c r="F3" s="5" t="s">
        <v>584</v>
      </c>
      <c r="G3" s="5" t="s">
        <v>391</v>
      </c>
      <c r="H3" s="5" t="s">
        <v>585</v>
      </c>
      <c r="I3" s="5" t="s">
        <v>586</v>
      </c>
      <c r="J3" s="5" t="s">
        <v>587</v>
      </c>
      <c r="K3" s="5" t="s">
        <v>588</v>
      </c>
      <c r="L3" s="5" t="s">
        <v>589</v>
      </c>
      <c r="M3" s="5" t="s">
        <v>590</v>
      </c>
      <c r="N3" s="5" t="s">
        <v>591</v>
      </c>
      <c r="O3" s="5" t="s">
        <v>592</v>
      </c>
      <c r="P3" s="5" t="s">
        <v>593</v>
      </c>
      <c r="Q3" s="5" t="s">
        <v>594</v>
      </c>
      <c r="R3" s="5" t="s">
        <v>595</v>
      </c>
      <c r="S3" s="5" t="s">
        <v>596</v>
      </c>
      <c r="T3" s="5" t="s">
        <v>597</v>
      </c>
    </row>
    <row r="4" spans="1:20" x14ac:dyDescent="0.2">
      <c r="A4" t="s">
        <v>694</v>
      </c>
      <c r="B4" t="s">
        <v>624</v>
      </c>
      <c r="D4" t="s">
        <v>889</v>
      </c>
      <c r="E4" t="s">
        <v>900</v>
      </c>
      <c r="F4">
        <v>4</v>
      </c>
      <c r="G4" t="s">
        <v>393</v>
      </c>
      <c r="H4" t="s">
        <v>901</v>
      </c>
      <c r="I4">
        <v>10</v>
      </c>
      <c r="L4" t="s">
        <v>1047</v>
      </c>
      <c r="M4" t="s">
        <v>902</v>
      </c>
      <c r="R4">
        <v>25188</v>
      </c>
      <c r="T4">
        <v>23</v>
      </c>
    </row>
    <row r="5" spans="1:20" x14ac:dyDescent="0.2">
      <c r="A5" t="s">
        <v>695</v>
      </c>
      <c r="B5" t="s">
        <v>624</v>
      </c>
      <c r="D5" t="s">
        <v>889</v>
      </c>
      <c r="E5" t="s">
        <v>900</v>
      </c>
      <c r="F5">
        <v>4</v>
      </c>
      <c r="G5" t="s">
        <v>393</v>
      </c>
      <c r="H5" t="s">
        <v>901</v>
      </c>
      <c r="I5">
        <v>10</v>
      </c>
      <c r="L5" t="s">
        <v>1048</v>
      </c>
      <c r="M5" t="s">
        <v>903</v>
      </c>
      <c r="R5">
        <v>26540</v>
      </c>
      <c r="T5">
        <v>24</v>
      </c>
    </row>
    <row r="6" spans="1:20" x14ac:dyDescent="0.2">
      <c r="A6" t="s">
        <v>696</v>
      </c>
      <c r="B6" t="s">
        <v>624</v>
      </c>
      <c r="D6" t="s">
        <v>889</v>
      </c>
      <c r="E6" t="s">
        <v>900</v>
      </c>
      <c r="F6">
        <v>4</v>
      </c>
      <c r="G6" t="s">
        <v>393</v>
      </c>
      <c r="H6" t="s">
        <v>901</v>
      </c>
      <c r="I6">
        <v>10</v>
      </c>
      <c r="L6" t="s">
        <v>1049</v>
      </c>
      <c r="M6" t="s">
        <v>904</v>
      </c>
      <c r="R6">
        <v>13083</v>
      </c>
      <c r="T6">
        <v>17</v>
      </c>
    </row>
    <row r="7" spans="1:20" x14ac:dyDescent="0.2">
      <c r="A7" t="s">
        <v>697</v>
      </c>
      <c r="B7" t="s">
        <v>624</v>
      </c>
      <c r="D7" t="s">
        <v>889</v>
      </c>
      <c r="E7" t="s">
        <v>900</v>
      </c>
      <c r="F7">
        <v>4</v>
      </c>
      <c r="G7" t="s">
        <v>393</v>
      </c>
      <c r="H7" t="s">
        <v>901</v>
      </c>
      <c r="I7">
        <v>10</v>
      </c>
      <c r="L7" t="s">
        <v>1050</v>
      </c>
      <c r="M7" t="s">
        <v>905</v>
      </c>
      <c r="R7">
        <v>29446</v>
      </c>
      <c r="T7">
        <v>22</v>
      </c>
    </row>
    <row r="8" spans="1:20" x14ac:dyDescent="0.2">
      <c r="A8" t="s">
        <v>698</v>
      </c>
      <c r="B8" t="s">
        <v>624</v>
      </c>
      <c r="D8" t="s">
        <v>889</v>
      </c>
      <c r="E8" t="s">
        <v>900</v>
      </c>
      <c r="F8">
        <v>4</v>
      </c>
      <c r="G8" t="s">
        <v>393</v>
      </c>
      <c r="H8" t="s">
        <v>901</v>
      </c>
      <c r="I8">
        <v>10</v>
      </c>
      <c r="L8" t="s">
        <v>1051</v>
      </c>
      <c r="M8" t="s">
        <v>906</v>
      </c>
      <c r="R8">
        <v>33286</v>
      </c>
      <c r="T8">
        <v>25</v>
      </c>
    </row>
    <row r="9" spans="1:20" x14ac:dyDescent="0.2">
      <c r="A9" t="s">
        <v>699</v>
      </c>
      <c r="B9" t="s">
        <v>624</v>
      </c>
      <c r="D9" t="s">
        <v>889</v>
      </c>
      <c r="E9" t="s">
        <v>900</v>
      </c>
      <c r="F9">
        <v>4</v>
      </c>
      <c r="G9" t="s">
        <v>393</v>
      </c>
      <c r="H9" t="s">
        <v>901</v>
      </c>
      <c r="I9">
        <v>10</v>
      </c>
      <c r="L9" t="s">
        <v>1052</v>
      </c>
      <c r="M9" t="s">
        <v>907</v>
      </c>
      <c r="R9">
        <v>28460</v>
      </c>
      <c r="T9">
        <v>25</v>
      </c>
    </row>
    <row r="10" spans="1:20" x14ac:dyDescent="0.2">
      <c r="A10" t="s">
        <v>700</v>
      </c>
      <c r="B10" t="s">
        <v>624</v>
      </c>
      <c r="D10" t="s">
        <v>889</v>
      </c>
      <c r="E10" t="s">
        <v>900</v>
      </c>
      <c r="F10">
        <v>4</v>
      </c>
      <c r="G10" t="s">
        <v>393</v>
      </c>
      <c r="H10" t="s">
        <v>901</v>
      </c>
      <c r="I10">
        <v>10</v>
      </c>
      <c r="L10" t="s">
        <v>1053</v>
      </c>
      <c r="M10" t="s">
        <v>908</v>
      </c>
      <c r="R10">
        <v>27482</v>
      </c>
      <c r="T10">
        <v>20</v>
      </c>
    </row>
    <row r="11" spans="1:20" x14ac:dyDescent="0.2">
      <c r="A11" t="s">
        <v>701</v>
      </c>
      <c r="B11" t="s">
        <v>624</v>
      </c>
      <c r="D11" t="s">
        <v>889</v>
      </c>
      <c r="E11" t="s">
        <v>900</v>
      </c>
      <c r="F11">
        <v>4</v>
      </c>
      <c r="G11" t="s">
        <v>393</v>
      </c>
      <c r="H11" t="s">
        <v>901</v>
      </c>
      <c r="I11">
        <v>10</v>
      </c>
      <c r="L11" t="s">
        <v>1054</v>
      </c>
      <c r="M11" t="s">
        <v>909</v>
      </c>
      <c r="R11">
        <v>27885</v>
      </c>
      <c r="T11">
        <v>20</v>
      </c>
    </row>
    <row r="12" spans="1:20" x14ac:dyDescent="0.2">
      <c r="A12" t="s">
        <v>702</v>
      </c>
      <c r="B12" t="s">
        <v>624</v>
      </c>
      <c r="D12" t="s">
        <v>889</v>
      </c>
      <c r="E12" t="s">
        <v>900</v>
      </c>
      <c r="F12">
        <v>4</v>
      </c>
      <c r="G12" t="s">
        <v>393</v>
      </c>
      <c r="H12" t="s">
        <v>901</v>
      </c>
      <c r="I12">
        <v>10</v>
      </c>
      <c r="L12" t="s">
        <v>1055</v>
      </c>
      <c r="M12" t="s">
        <v>910</v>
      </c>
      <c r="R12">
        <v>42599</v>
      </c>
      <c r="T12">
        <v>20</v>
      </c>
    </row>
    <row r="13" spans="1:20" x14ac:dyDescent="0.2">
      <c r="A13" t="s">
        <v>703</v>
      </c>
      <c r="B13" t="s">
        <v>624</v>
      </c>
      <c r="D13" t="s">
        <v>889</v>
      </c>
      <c r="E13" t="s">
        <v>900</v>
      </c>
      <c r="F13">
        <v>4</v>
      </c>
      <c r="G13" t="s">
        <v>393</v>
      </c>
      <c r="H13" t="s">
        <v>901</v>
      </c>
      <c r="I13">
        <v>10</v>
      </c>
      <c r="L13" t="s">
        <v>1056</v>
      </c>
      <c r="M13" t="s">
        <v>911</v>
      </c>
      <c r="R13">
        <v>39713</v>
      </c>
      <c r="T13">
        <v>21</v>
      </c>
    </row>
    <row r="14" spans="1:20" x14ac:dyDescent="0.2">
      <c r="A14" t="s">
        <v>704</v>
      </c>
      <c r="B14" t="s">
        <v>624</v>
      </c>
      <c r="D14" t="s">
        <v>889</v>
      </c>
      <c r="E14" t="s">
        <v>900</v>
      </c>
      <c r="F14">
        <v>4</v>
      </c>
      <c r="G14" t="s">
        <v>393</v>
      </c>
      <c r="H14" t="s">
        <v>901</v>
      </c>
      <c r="I14">
        <v>10</v>
      </c>
      <c r="L14" t="s">
        <v>1057</v>
      </c>
      <c r="M14" t="s">
        <v>1058</v>
      </c>
      <c r="R14">
        <v>5862</v>
      </c>
      <c r="T14">
        <v>3</v>
      </c>
    </row>
    <row r="15" spans="1:20" x14ac:dyDescent="0.2">
      <c r="A15" t="s">
        <v>705</v>
      </c>
      <c r="B15" t="s">
        <v>624</v>
      </c>
      <c r="D15" t="s">
        <v>889</v>
      </c>
      <c r="E15" t="s">
        <v>900</v>
      </c>
      <c r="F15">
        <v>4</v>
      </c>
      <c r="G15" t="s">
        <v>393</v>
      </c>
      <c r="H15" t="s">
        <v>901</v>
      </c>
      <c r="I15">
        <v>10</v>
      </c>
      <c r="L15" t="s">
        <v>1059</v>
      </c>
      <c r="M15" t="s">
        <v>1060</v>
      </c>
      <c r="R15">
        <v>6</v>
      </c>
      <c r="T15">
        <v>1</v>
      </c>
    </row>
    <row r="16" spans="1:20" x14ac:dyDescent="0.2">
      <c r="A16" t="s">
        <v>706</v>
      </c>
      <c r="B16" t="s">
        <v>624</v>
      </c>
      <c r="D16" t="s">
        <v>889</v>
      </c>
      <c r="E16" t="s">
        <v>900</v>
      </c>
      <c r="F16">
        <v>4</v>
      </c>
      <c r="G16" t="s">
        <v>393</v>
      </c>
      <c r="H16" t="s">
        <v>901</v>
      </c>
      <c r="I16">
        <v>10</v>
      </c>
      <c r="L16" t="s">
        <v>1061</v>
      </c>
      <c r="M16" t="s">
        <v>912</v>
      </c>
      <c r="R16">
        <v>43871</v>
      </c>
      <c r="T16">
        <v>27</v>
      </c>
    </row>
    <row r="17" spans="1:20" x14ac:dyDescent="0.2">
      <c r="A17" t="s">
        <v>707</v>
      </c>
      <c r="B17" t="s">
        <v>624</v>
      </c>
      <c r="D17" t="s">
        <v>889</v>
      </c>
      <c r="E17" t="s">
        <v>900</v>
      </c>
      <c r="F17">
        <v>4</v>
      </c>
      <c r="G17" t="s">
        <v>393</v>
      </c>
      <c r="H17" t="s">
        <v>901</v>
      </c>
      <c r="I17">
        <v>10</v>
      </c>
      <c r="L17" t="s">
        <v>1062</v>
      </c>
      <c r="M17" t="s">
        <v>913</v>
      </c>
      <c r="R17">
        <v>33479</v>
      </c>
      <c r="T17">
        <v>30</v>
      </c>
    </row>
    <row r="18" spans="1:20" x14ac:dyDescent="0.2">
      <c r="A18" t="s">
        <v>708</v>
      </c>
      <c r="B18" t="s">
        <v>624</v>
      </c>
      <c r="D18" t="s">
        <v>889</v>
      </c>
      <c r="E18" t="s">
        <v>900</v>
      </c>
      <c r="F18">
        <v>4</v>
      </c>
      <c r="G18" t="s">
        <v>393</v>
      </c>
      <c r="H18" t="s">
        <v>901</v>
      </c>
      <c r="I18">
        <v>10</v>
      </c>
      <c r="L18" t="s">
        <v>1063</v>
      </c>
      <c r="M18" t="s">
        <v>914</v>
      </c>
      <c r="R18">
        <v>41369</v>
      </c>
      <c r="T18">
        <v>25</v>
      </c>
    </row>
    <row r="19" spans="1:20" x14ac:dyDescent="0.2">
      <c r="A19" t="s">
        <v>709</v>
      </c>
      <c r="B19" t="s">
        <v>624</v>
      </c>
      <c r="D19" t="s">
        <v>889</v>
      </c>
      <c r="E19" t="s">
        <v>900</v>
      </c>
      <c r="F19">
        <v>4</v>
      </c>
      <c r="G19" t="s">
        <v>393</v>
      </c>
      <c r="H19" t="s">
        <v>901</v>
      </c>
      <c r="I19">
        <v>10</v>
      </c>
      <c r="L19" t="s">
        <v>1064</v>
      </c>
      <c r="M19" t="s">
        <v>915</v>
      </c>
      <c r="R19">
        <v>17115</v>
      </c>
      <c r="T19">
        <v>27</v>
      </c>
    </row>
    <row r="20" spans="1:20" x14ac:dyDescent="0.2">
      <c r="A20" t="s">
        <v>710</v>
      </c>
      <c r="B20" t="s">
        <v>624</v>
      </c>
      <c r="D20" t="s">
        <v>890</v>
      </c>
      <c r="E20" t="s">
        <v>900</v>
      </c>
      <c r="F20">
        <v>4</v>
      </c>
      <c r="G20" t="s">
        <v>393</v>
      </c>
      <c r="H20" t="s">
        <v>901</v>
      </c>
      <c r="I20">
        <v>10</v>
      </c>
      <c r="L20" t="s">
        <v>1065</v>
      </c>
      <c r="M20" t="s">
        <v>916</v>
      </c>
      <c r="R20">
        <v>55856</v>
      </c>
      <c r="T20">
        <v>23</v>
      </c>
    </row>
    <row r="21" spans="1:20" x14ac:dyDescent="0.2">
      <c r="A21" t="s">
        <v>711</v>
      </c>
      <c r="B21" t="s">
        <v>624</v>
      </c>
      <c r="D21" t="s">
        <v>890</v>
      </c>
      <c r="E21" t="s">
        <v>900</v>
      </c>
      <c r="F21">
        <v>4</v>
      </c>
      <c r="G21" t="s">
        <v>393</v>
      </c>
      <c r="H21" t="s">
        <v>901</v>
      </c>
      <c r="I21">
        <v>10</v>
      </c>
      <c r="L21" t="s">
        <v>1066</v>
      </c>
      <c r="M21" t="s">
        <v>917</v>
      </c>
      <c r="R21">
        <v>66655</v>
      </c>
      <c r="T21">
        <v>27</v>
      </c>
    </row>
    <row r="22" spans="1:20" x14ac:dyDescent="0.2">
      <c r="A22" t="s">
        <v>712</v>
      </c>
      <c r="B22" t="s">
        <v>624</v>
      </c>
      <c r="D22" t="s">
        <v>889</v>
      </c>
      <c r="E22" t="s">
        <v>900</v>
      </c>
      <c r="F22">
        <v>4</v>
      </c>
      <c r="G22" t="s">
        <v>393</v>
      </c>
      <c r="H22" t="s">
        <v>901</v>
      </c>
      <c r="I22">
        <v>10</v>
      </c>
      <c r="L22" t="s">
        <v>1067</v>
      </c>
      <c r="M22" t="s">
        <v>918</v>
      </c>
      <c r="R22">
        <v>39755</v>
      </c>
      <c r="T22">
        <v>27</v>
      </c>
    </row>
    <row r="23" spans="1:20" x14ac:dyDescent="0.2">
      <c r="A23" t="s">
        <v>713</v>
      </c>
      <c r="B23" t="s">
        <v>624</v>
      </c>
      <c r="D23" t="s">
        <v>889</v>
      </c>
      <c r="E23" t="s">
        <v>900</v>
      </c>
      <c r="F23">
        <v>4</v>
      </c>
      <c r="G23" t="s">
        <v>393</v>
      </c>
      <c r="H23" t="s">
        <v>901</v>
      </c>
      <c r="I23">
        <v>10</v>
      </c>
      <c r="L23" t="s">
        <v>1068</v>
      </c>
      <c r="M23" t="s">
        <v>919</v>
      </c>
      <c r="R23">
        <v>27257</v>
      </c>
      <c r="T23">
        <v>33</v>
      </c>
    </row>
    <row r="24" spans="1:20" x14ac:dyDescent="0.2">
      <c r="A24" t="s">
        <v>714</v>
      </c>
      <c r="B24" t="s">
        <v>624</v>
      </c>
      <c r="D24" t="s">
        <v>889</v>
      </c>
      <c r="E24" t="s">
        <v>900</v>
      </c>
      <c r="F24">
        <v>4</v>
      </c>
      <c r="G24" t="s">
        <v>393</v>
      </c>
      <c r="H24" t="s">
        <v>901</v>
      </c>
      <c r="I24">
        <v>10</v>
      </c>
      <c r="L24" t="s">
        <v>1069</v>
      </c>
      <c r="M24" t="s">
        <v>920</v>
      </c>
      <c r="R24">
        <v>63526</v>
      </c>
      <c r="T24">
        <v>30</v>
      </c>
    </row>
    <row r="25" spans="1:20" x14ac:dyDescent="0.2">
      <c r="A25" t="s">
        <v>715</v>
      </c>
      <c r="B25" t="s">
        <v>624</v>
      </c>
      <c r="D25" t="s">
        <v>889</v>
      </c>
      <c r="E25" t="s">
        <v>900</v>
      </c>
      <c r="F25">
        <v>4</v>
      </c>
      <c r="G25" t="s">
        <v>393</v>
      </c>
      <c r="H25" t="s">
        <v>901</v>
      </c>
      <c r="I25">
        <v>10</v>
      </c>
      <c r="L25" t="s">
        <v>1070</v>
      </c>
      <c r="M25" t="s">
        <v>921</v>
      </c>
      <c r="R25">
        <v>43083</v>
      </c>
      <c r="T25">
        <v>30</v>
      </c>
    </row>
    <row r="26" spans="1:20" x14ac:dyDescent="0.2">
      <c r="A26" t="s">
        <v>716</v>
      </c>
      <c r="B26" t="s">
        <v>624</v>
      </c>
      <c r="D26" t="s">
        <v>890</v>
      </c>
      <c r="E26" t="s">
        <v>900</v>
      </c>
      <c r="F26">
        <v>4</v>
      </c>
      <c r="G26" t="s">
        <v>393</v>
      </c>
      <c r="H26" t="s">
        <v>901</v>
      </c>
      <c r="I26">
        <v>10</v>
      </c>
      <c r="L26" t="s">
        <v>1071</v>
      </c>
      <c r="M26" t="s">
        <v>922</v>
      </c>
      <c r="R26">
        <v>57546</v>
      </c>
      <c r="T26">
        <v>24</v>
      </c>
    </row>
    <row r="27" spans="1:20" x14ac:dyDescent="0.2">
      <c r="A27" t="s">
        <v>717</v>
      </c>
      <c r="B27" t="s">
        <v>624</v>
      </c>
      <c r="D27" t="s">
        <v>890</v>
      </c>
      <c r="E27" t="s">
        <v>900</v>
      </c>
      <c r="F27">
        <v>4</v>
      </c>
      <c r="G27" t="s">
        <v>393</v>
      </c>
      <c r="H27" t="s">
        <v>901</v>
      </c>
      <c r="I27">
        <v>10</v>
      </c>
      <c r="L27" t="s">
        <v>1072</v>
      </c>
      <c r="M27" t="s">
        <v>923</v>
      </c>
      <c r="R27">
        <v>60494</v>
      </c>
      <c r="T27">
        <v>32</v>
      </c>
    </row>
    <row r="28" spans="1:20" x14ac:dyDescent="0.2">
      <c r="A28" t="s">
        <v>718</v>
      </c>
      <c r="B28" t="s">
        <v>624</v>
      </c>
      <c r="D28" t="s">
        <v>890</v>
      </c>
      <c r="E28" t="s">
        <v>900</v>
      </c>
      <c r="F28">
        <v>4</v>
      </c>
      <c r="G28" t="s">
        <v>393</v>
      </c>
      <c r="H28" t="s">
        <v>901</v>
      </c>
      <c r="I28">
        <v>10</v>
      </c>
      <c r="L28" t="s">
        <v>1073</v>
      </c>
      <c r="M28" t="s">
        <v>924</v>
      </c>
      <c r="R28">
        <v>34238</v>
      </c>
      <c r="T28">
        <v>31</v>
      </c>
    </row>
    <row r="29" spans="1:20" x14ac:dyDescent="0.2">
      <c r="A29" t="s">
        <v>719</v>
      </c>
      <c r="B29" t="s">
        <v>624</v>
      </c>
      <c r="D29" t="s">
        <v>890</v>
      </c>
      <c r="E29" t="s">
        <v>900</v>
      </c>
      <c r="F29">
        <v>4</v>
      </c>
      <c r="G29" t="s">
        <v>393</v>
      </c>
      <c r="H29" t="s">
        <v>901</v>
      </c>
      <c r="I29">
        <v>10</v>
      </c>
      <c r="L29" t="s">
        <v>1074</v>
      </c>
      <c r="M29" t="s">
        <v>925</v>
      </c>
      <c r="R29">
        <v>39780</v>
      </c>
      <c r="T29">
        <v>31</v>
      </c>
    </row>
    <row r="30" spans="1:20" x14ac:dyDescent="0.2">
      <c r="A30" t="s">
        <v>720</v>
      </c>
      <c r="B30" t="s">
        <v>624</v>
      </c>
      <c r="D30" t="s">
        <v>889</v>
      </c>
      <c r="E30" t="s">
        <v>900</v>
      </c>
      <c r="F30">
        <v>4</v>
      </c>
      <c r="G30" t="s">
        <v>393</v>
      </c>
      <c r="H30" t="s">
        <v>901</v>
      </c>
      <c r="I30">
        <v>10</v>
      </c>
      <c r="L30" t="s">
        <v>1075</v>
      </c>
      <c r="M30" t="s">
        <v>1076</v>
      </c>
      <c r="R30">
        <v>76</v>
      </c>
      <c r="T30">
        <v>2</v>
      </c>
    </row>
    <row r="31" spans="1:20" x14ac:dyDescent="0.2">
      <c r="A31" t="s">
        <v>721</v>
      </c>
      <c r="B31" t="s">
        <v>624</v>
      </c>
      <c r="D31" t="s">
        <v>889</v>
      </c>
      <c r="E31" t="s">
        <v>900</v>
      </c>
      <c r="F31">
        <v>4</v>
      </c>
      <c r="G31" t="s">
        <v>393</v>
      </c>
      <c r="H31" t="s">
        <v>901</v>
      </c>
      <c r="I31">
        <v>10</v>
      </c>
      <c r="L31" t="s">
        <v>1077</v>
      </c>
      <c r="M31" t="s">
        <v>1078</v>
      </c>
      <c r="R31">
        <v>264</v>
      </c>
      <c r="T31">
        <v>4</v>
      </c>
    </row>
    <row r="32" spans="1:20" x14ac:dyDescent="0.2">
      <c r="A32" t="s">
        <v>722</v>
      </c>
      <c r="B32" t="s">
        <v>624</v>
      </c>
      <c r="D32" t="s">
        <v>891</v>
      </c>
      <c r="E32" t="s">
        <v>900</v>
      </c>
      <c r="F32">
        <v>4</v>
      </c>
      <c r="G32" t="s">
        <v>393</v>
      </c>
      <c r="H32" t="s">
        <v>901</v>
      </c>
      <c r="I32">
        <v>10</v>
      </c>
      <c r="L32" t="s">
        <v>1079</v>
      </c>
      <c r="M32" t="s">
        <v>926</v>
      </c>
      <c r="R32">
        <v>91286</v>
      </c>
      <c r="T32">
        <v>23</v>
      </c>
    </row>
    <row r="33" spans="1:20" x14ac:dyDescent="0.2">
      <c r="A33" t="s">
        <v>723</v>
      </c>
      <c r="B33" t="s">
        <v>624</v>
      </c>
      <c r="D33" t="s">
        <v>891</v>
      </c>
      <c r="E33" t="s">
        <v>900</v>
      </c>
      <c r="F33">
        <v>4</v>
      </c>
      <c r="G33" t="s">
        <v>393</v>
      </c>
      <c r="H33" t="s">
        <v>901</v>
      </c>
      <c r="I33">
        <v>10</v>
      </c>
      <c r="L33" t="s">
        <v>1080</v>
      </c>
      <c r="M33" t="s">
        <v>927</v>
      </c>
      <c r="R33">
        <v>93006</v>
      </c>
      <c r="T33">
        <v>22</v>
      </c>
    </row>
    <row r="34" spans="1:20" x14ac:dyDescent="0.2">
      <c r="A34" t="s">
        <v>724</v>
      </c>
      <c r="B34" t="s">
        <v>624</v>
      </c>
      <c r="D34" t="s">
        <v>891</v>
      </c>
      <c r="E34" t="s">
        <v>900</v>
      </c>
      <c r="F34">
        <v>4</v>
      </c>
      <c r="G34" t="s">
        <v>393</v>
      </c>
      <c r="H34" t="s">
        <v>901</v>
      </c>
      <c r="I34">
        <v>10</v>
      </c>
      <c r="L34" t="s">
        <v>1081</v>
      </c>
      <c r="M34" t="s">
        <v>928</v>
      </c>
      <c r="R34">
        <v>107798</v>
      </c>
      <c r="T34">
        <v>15</v>
      </c>
    </row>
    <row r="35" spans="1:20" x14ac:dyDescent="0.2">
      <c r="A35" t="s">
        <v>725</v>
      </c>
      <c r="B35" t="s">
        <v>624</v>
      </c>
      <c r="D35" t="s">
        <v>891</v>
      </c>
      <c r="E35" t="s">
        <v>900</v>
      </c>
      <c r="F35">
        <v>4</v>
      </c>
      <c r="G35" t="s">
        <v>393</v>
      </c>
      <c r="H35" t="s">
        <v>901</v>
      </c>
      <c r="I35">
        <v>10</v>
      </c>
      <c r="L35" t="s">
        <v>1082</v>
      </c>
      <c r="M35" t="s">
        <v>929</v>
      </c>
      <c r="R35">
        <v>115950</v>
      </c>
      <c r="T35">
        <v>28</v>
      </c>
    </row>
    <row r="36" spans="1:20" x14ac:dyDescent="0.2">
      <c r="A36" t="s">
        <v>726</v>
      </c>
      <c r="B36" t="s">
        <v>624</v>
      </c>
      <c r="D36" t="s">
        <v>891</v>
      </c>
      <c r="E36" t="s">
        <v>900</v>
      </c>
      <c r="F36">
        <v>4</v>
      </c>
      <c r="G36" t="s">
        <v>393</v>
      </c>
      <c r="H36" t="s">
        <v>901</v>
      </c>
      <c r="I36">
        <v>10</v>
      </c>
      <c r="L36" t="s">
        <v>1083</v>
      </c>
      <c r="M36" t="s">
        <v>930</v>
      </c>
      <c r="R36">
        <v>102020</v>
      </c>
      <c r="T36">
        <v>26</v>
      </c>
    </row>
    <row r="37" spans="1:20" x14ac:dyDescent="0.2">
      <c r="A37" t="s">
        <v>727</v>
      </c>
      <c r="B37" t="s">
        <v>624</v>
      </c>
      <c r="D37" t="s">
        <v>891</v>
      </c>
      <c r="E37" t="s">
        <v>900</v>
      </c>
      <c r="F37">
        <v>4</v>
      </c>
      <c r="G37" t="s">
        <v>393</v>
      </c>
      <c r="H37" t="s">
        <v>901</v>
      </c>
      <c r="I37">
        <v>10</v>
      </c>
      <c r="L37" t="s">
        <v>1084</v>
      </c>
      <c r="M37" t="s">
        <v>931</v>
      </c>
      <c r="R37">
        <v>60111</v>
      </c>
      <c r="T37">
        <v>21</v>
      </c>
    </row>
    <row r="38" spans="1:20" x14ac:dyDescent="0.2">
      <c r="A38" t="s">
        <v>728</v>
      </c>
      <c r="B38" t="s">
        <v>624</v>
      </c>
      <c r="D38" t="s">
        <v>891</v>
      </c>
      <c r="E38" t="s">
        <v>900</v>
      </c>
      <c r="F38">
        <v>4</v>
      </c>
      <c r="G38" t="s">
        <v>393</v>
      </c>
      <c r="H38" t="s">
        <v>901</v>
      </c>
      <c r="I38">
        <v>10</v>
      </c>
      <c r="L38" t="s">
        <v>1085</v>
      </c>
      <c r="M38" t="s">
        <v>932</v>
      </c>
      <c r="R38">
        <v>61225</v>
      </c>
      <c r="T38">
        <v>22</v>
      </c>
    </row>
    <row r="39" spans="1:20" x14ac:dyDescent="0.2">
      <c r="A39" t="s">
        <v>729</v>
      </c>
      <c r="B39" t="s">
        <v>624</v>
      </c>
      <c r="D39" t="s">
        <v>891</v>
      </c>
      <c r="E39" t="s">
        <v>900</v>
      </c>
      <c r="F39">
        <v>4</v>
      </c>
      <c r="G39" t="s">
        <v>393</v>
      </c>
      <c r="H39" t="s">
        <v>901</v>
      </c>
      <c r="I39">
        <v>10</v>
      </c>
      <c r="L39" t="s">
        <v>1086</v>
      </c>
      <c r="M39" t="s">
        <v>933</v>
      </c>
      <c r="R39">
        <v>61425</v>
      </c>
      <c r="T39">
        <v>22</v>
      </c>
    </row>
    <row r="40" spans="1:20" x14ac:dyDescent="0.2">
      <c r="A40" t="s">
        <v>730</v>
      </c>
      <c r="B40" t="s">
        <v>624</v>
      </c>
      <c r="D40" t="s">
        <v>891</v>
      </c>
      <c r="E40" t="s">
        <v>900</v>
      </c>
      <c r="F40">
        <v>4</v>
      </c>
      <c r="G40" t="s">
        <v>393</v>
      </c>
      <c r="H40" t="s">
        <v>901</v>
      </c>
      <c r="I40">
        <v>10</v>
      </c>
      <c r="L40" t="s">
        <v>1087</v>
      </c>
      <c r="M40" t="s">
        <v>934</v>
      </c>
      <c r="R40">
        <v>81195</v>
      </c>
      <c r="T40">
        <v>21</v>
      </c>
    </row>
    <row r="41" spans="1:20" x14ac:dyDescent="0.2">
      <c r="A41" t="s">
        <v>731</v>
      </c>
      <c r="B41" t="s">
        <v>624</v>
      </c>
      <c r="D41" t="s">
        <v>891</v>
      </c>
      <c r="E41" t="s">
        <v>900</v>
      </c>
      <c r="F41">
        <v>4</v>
      </c>
      <c r="G41" t="s">
        <v>393</v>
      </c>
      <c r="H41" t="s">
        <v>901</v>
      </c>
      <c r="I41">
        <v>10</v>
      </c>
      <c r="L41" t="s">
        <v>1088</v>
      </c>
      <c r="M41" t="s">
        <v>935</v>
      </c>
      <c r="R41">
        <v>66445</v>
      </c>
      <c r="T41">
        <v>23</v>
      </c>
    </row>
    <row r="42" spans="1:20" x14ac:dyDescent="0.2">
      <c r="A42" t="s">
        <v>732</v>
      </c>
      <c r="B42" t="s">
        <v>624</v>
      </c>
      <c r="D42" t="s">
        <v>891</v>
      </c>
      <c r="E42" t="s">
        <v>900</v>
      </c>
      <c r="F42">
        <v>4</v>
      </c>
      <c r="G42" t="s">
        <v>393</v>
      </c>
      <c r="H42" t="s">
        <v>901</v>
      </c>
      <c r="I42">
        <v>10</v>
      </c>
      <c r="L42" t="s">
        <v>1089</v>
      </c>
      <c r="M42" t="s">
        <v>1090</v>
      </c>
      <c r="R42">
        <v>584</v>
      </c>
      <c r="T42">
        <v>4</v>
      </c>
    </row>
    <row r="43" spans="1:20" x14ac:dyDescent="0.2">
      <c r="A43" t="s">
        <v>733</v>
      </c>
      <c r="B43" t="s">
        <v>624</v>
      </c>
      <c r="D43" t="s">
        <v>891</v>
      </c>
      <c r="E43" t="s">
        <v>900</v>
      </c>
      <c r="F43">
        <v>4</v>
      </c>
      <c r="G43" t="s">
        <v>393</v>
      </c>
      <c r="H43" t="s">
        <v>901</v>
      </c>
      <c r="I43">
        <v>10</v>
      </c>
      <c r="L43" t="s">
        <v>1091</v>
      </c>
      <c r="M43" t="s">
        <v>1092</v>
      </c>
      <c r="R43">
        <v>2873</v>
      </c>
      <c r="T43">
        <v>2</v>
      </c>
    </row>
    <row r="44" spans="1:20" x14ac:dyDescent="0.2">
      <c r="A44" t="s">
        <v>734</v>
      </c>
      <c r="B44" t="s">
        <v>624</v>
      </c>
      <c r="D44" t="s">
        <v>891</v>
      </c>
      <c r="E44" t="s">
        <v>900</v>
      </c>
      <c r="F44">
        <v>4</v>
      </c>
      <c r="G44" t="s">
        <v>393</v>
      </c>
      <c r="H44" t="s">
        <v>901</v>
      </c>
      <c r="I44">
        <v>10</v>
      </c>
      <c r="L44" t="s">
        <v>1093</v>
      </c>
      <c r="M44" t="s">
        <v>936</v>
      </c>
      <c r="R44">
        <v>69956</v>
      </c>
      <c r="T44">
        <v>24</v>
      </c>
    </row>
    <row r="45" spans="1:20" x14ac:dyDescent="0.2">
      <c r="A45" t="s">
        <v>735</v>
      </c>
      <c r="B45" t="s">
        <v>624</v>
      </c>
      <c r="D45" t="s">
        <v>891</v>
      </c>
      <c r="E45" t="s">
        <v>900</v>
      </c>
      <c r="F45">
        <v>4</v>
      </c>
      <c r="G45" t="s">
        <v>393</v>
      </c>
      <c r="H45" t="s">
        <v>901</v>
      </c>
      <c r="I45">
        <v>10</v>
      </c>
      <c r="L45" t="s">
        <v>1094</v>
      </c>
      <c r="M45" t="s">
        <v>937</v>
      </c>
      <c r="R45">
        <v>63101</v>
      </c>
      <c r="T45">
        <v>24</v>
      </c>
    </row>
    <row r="46" spans="1:20" x14ac:dyDescent="0.2">
      <c r="A46" t="s">
        <v>736</v>
      </c>
      <c r="B46" t="s">
        <v>624</v>
      </c>
      <c r="D46" t="s">
        <v>891</v>
      </c>
      <c r="E46" t="s">
        <v>900</v>
      </c>
      <c r="F46">
        <v>4</v>
      </c>
      <c r="G46" t="s">
        <v>393</v>
      </c>
      <c r="H46" t="s">
        <v>901</v>
      </c>
      <c r="I46">
        <v>10</v>
      </c>
      <c r="L46" t="s">
        <v>1095</v>
      </c>
      <c r="M46" t="s">
        <v>938</v>
      </c>
      <c r="R46">
        <v>84327</v>
      </c>
      <c r="T46">
        <v>20</v>
      </c>
    </row>
    <row r="47" spans="1:20" x14ac:dyDescent="0.2">
      <c r="A47" t="s">
        <v>737</v>
      </c>
      <c r="B47" t="s">
        <v>624</v>
      </c>
      <c r="D47" t="s">
        <v>891</v>
      </c>
      <c r="E47" t="s">
        <v>900</v>
      </c>
      <c r="F47">
        <v>4</v>
      </c>
      <c r="G47" t="s">
        <v>393</v>
      </c>
      <c r="H47" t="s">
        <v>901</v>
      </c>
      <c r="I47">
        <v>10</v>
      </c>
      <c r="L47" t="s">
        <v>1096</v>
      </c>
      <c r="M47" t="s">
        <v>939</v>
      </c>
      <c r="R47">
        <v>72917</v>
      </c>
      <c r="T47">
        <v>25</v>
      </c>
    </row>
    <row r="48" spans="1:20" x14ac:dyDescent="0.2">
      <c r="A48" t="s">
        <v>738</v>
      </c>
      <c r="B48" t="s">
        <v>624</v>
      </c>
      <c r="D48" t="s">
        <v>892</v>
      </c>
      <c r="E48" t="s">
        <v>900</v>
      </c>
      <c r="F48">
        <v>4</v>
      </c>
      <c r="G48" t="s">
        <v>393</v>
      </c>
      <c r="H48" t="s">
        <v>901</v>
      </c>
      <c r="I48">
        <v>10</v>
      </c>
      <c r="L48" t="s">
        <v>1097</v>
      </c>
      <c r="M48" t="s">
        <v>940</v>
      </c>
      <c r="R48">
        <v>163433</v>
      </c>
      <c r="T48">
        <v>21</v>
      </c>
    </row>
    <row r="49" spans="1:20" x14ac:dyDescent="0.2">
      <c r="A49" t="s">
        <v>739</v>
      </c>
      <c r="B49" t="s">
        <v>624</v>
      </c>
      <c r="D49" t="s">
        <v>892</v>
      </c>
      <c r="E49" t="s">
        <v>900</v>
      </c>
      <c r="F49">
        <v>4</v>
      </c>
      <c r="G49" t="s">
        <v>393</v>
      </c>
      <c r="H49" t="s">
        <v>901</v>
      </c>
      <c r="I49">
        <v>10</v>
      </c>
      <c r="L49" t="s">
        <v>1098</v>
      </c>
      <c r="M49" t="s">
        <v>941</v>
      </c>
      <c r="R49">
        <v>126341</v>
      </c>
      <c r="T49">
        <v>22</v>
      </c>
    </row>
    <row r="50" spans="1:20" x14ac:dyDescent="0.2">
      <c r="A50" t="s">
        <v>740</v>
      </c>
      <c r="B50" t="s">
        <v>624</v>
      </c>
      <c r="D50" t="s">
        <v>891</v>
      </c>
      <c r="E50" t="s">
        <v>900</v>
      </c>
      <c r="F50">
        <v>4</v>
      </c>
      <c r="G50" t="s">
        <v>393</v>
      </c>
      <c r="H50" t="s">
        <v>901</v>
      </c>
      <c r="I50">
        <v>10</v>
      </c>
      <c r="L50" t="s">
        <v>1099</v>
      </c>
      <c r="M50" t="s">
        <v>942</v>
      </c>
      <c r="R50">
        <v>102207</v>
      </c>
      <c r="T50">
        <v>22</v>
      </c>
    </row>
    <row r="51" spans="1:20" x14ac:dyDescent="0.2">
      <c r="A51" t="s">
        <v>741</v>
      </c>
      <c r="B51" t="s">
        <v>624</v>
      </c>
      <c r="D51" t="s">
        <v>891</v>
      </c>
      <c r="E51" t="s">
        <v>900</v>
      </c>
      <c r="F51">
        <v>4</v>
      </c>
      <c r="G51" t="s">
        <v>393</v>
      </c>
      <c r="H51" t="s">
        <v>901</v>
      </c>
      <c r="I51">
        <v>10</v>
      </c>
      <c r="L51" t="s">
        <v>1100</v>
      </c>
      <c r="M51" t="s">
        <v>943</v>
      </c>
      <c r="R51">
        <v>54565</v>
      </c>
      <c r="T51">
        <v>21</v>
      </c>
    </row>
    <row r="52" spans="1:20" x14ac:dyDescent="0.2">
      <c r="A52" t="s">
        <v>742</v>
      </c>
      <c r="B52" t="s">
        <v>624</v>
      </c>
      <c r="D52" t="s">
        <v>891</v>
      </c>
      <c r="E52" t="s">
        <v>900</v>
      </c>
      <c r="F52">
        <v>4</v>
      </c>
      <c r="G52" t="s">
        <v>393</v>
      </c>
      <c r="H52" t="s">
        <v>901</v>
      </c>
      <c r="I52">
        <v>10</v>
      </c>
      <c r="L52" t="s">
        <v>1101</v>
      </c>
      <c r="M52" t="s">
        <v>944</v>
      </c>
      <c r="R52">
        <v>96670</v>
      </c>
      <c r="T52">
        <v>18</v>
      </c>
    </row>
    <row r="53" spans="1:20" x14ac:dyDescent="0.2">
      <c r="A53" t="s">
        <v>743</v>
      </c>
      <c r="B53" t="s">
        <v>624</v>
      </c>
      <c r="D53" t="s">
        <v>891</v>
      </c>
      <c r="E53" t="s">
        <v>900</v>
      </c>
      <c r="F53">
        <v>4</v>
      </c>
      <c r="G53" t="s">
        <v>393</v>
      </c>
      <c r="H53" t="s">
        <v>901</v>
      </c>
      <c r="I53">
        <v>10</v>
      </c>
      <c r="L53" t="s">
        <v>1102</v>
      </c>
      <c r="M53" t="s">
        <v>945</v>
      </c>
      <c r="R53">
        <v>75300</v>
      </c>
      <c r="T53">
        <v>24</v>
      </c>
    </row>
    <row r="54" spans="1:20" x14ac:dyDescent="0.2">
      <c r="A54" t="s">
        <v>744</v>
      </c>
      <c r="B54" t="s">
        <v>624</v>
      </c>
      <c r="D54" t="s">
        <v>891</v>
      </c>
      <c r="E54" t="s">
        <v>900</v>
      </c>
      <c r="F54">
        <v>4</v>
      </c>
      <c r="G54" t="s">
        <v>393</v>
      </c>
      <c r="H54" t="s">
        <v>901</v>
      </c>
      <c r="I54">
        <v>10</v>
      </c>
      <c r="L54" t="s">
        <v>1103</v>
      </c>
      <c r="M54" t="s">
        <v>1104</v>
      </c>
      <c r="R54">
        <v>726</v>
      </c>
      <c r="T54">
        <v>2</v>
      </c>
    </row>
    <row r="55" spans="1:20" x14ac:dyDescent="0.2">
      <c r="A55" t="s">
        <v>745</v>
      </c>
      <c r="B55" t="s">
        <v>624</v>
      </c>
      <c r="D55" t="s">
        <v>891</v>
      </c>
      <c r="E55" t="s">
        <v>900</v>
      </c>
      <c r="F55">
        <v>4</v>
      </c>
      <c r="G55" t="s">
        <v>393</v>
      </c>
      <c r="H55" t="s">
        <v>901</v>
      </c>
      <c r="I55">
        <v>10</v>
      </c>
      <c r="L55" t="s">
        <v>1105</v>
      </c>
      <c r="M55" t="s">
        <v>1106</v>
      </c>
      <c r="R55">
        <v>1397</v>
      </c>
      <c r="T55">
        <v>4</v>
      </c>
    </row>
    <row r="56" spans="1:20" x14ac:dyDescent="0.2">
      <c r="A56" t="s">
        <v>746</v>
      </c>
      <c r="B56" t="s">
        <v>624</v>
      </c>
      <c r="D56" t="s">
        <v>890</v>
      </c>
      <c r="E56" t="s">
        <v>900</v>
      </c>
      <c r="F56">
        <v>4</v>
      </c>
      <c r="G56" t="s">
        <v>393</v>
      </c>
      <c r="H56" t="s">
        <v>901</v>
      </c>
      <c r="I56">
        <v>10</v>
      </c>
      <c r="L56" t="s">
        <v>1107</v>
      </c>
      <c r="M56" t="s">
        <v>946</v>
      </c>
      <c r="R56">
        <v>39370</v>
      </c>
      <c r="T56">
        <v>19</v>
      </c>
    </row>
    <row r="57" spans="1:20" x14ac:dyDescent="0.2">
      <c r="A57" t="s">
        <v>747</v>
      </c>
      <c r="B57" t="s">
        <v>624</v>
      </c>
      <c r="D57" t="s">
        <v>890</v>
      </c>
      <c r="E57" t="s">
        <v>900</v>
      </c>
      <c r="F57">
        <v>4</v>
      </c>
      <c r="G57" t="s">
        <v>393</v>
      </c>
      <c r="H57" t="s">
        <v>901</v>
      </c>
      <c r="I57">
        <v>10</v>
      </c>
      <c r="L57" t="s">
        <v>1108</v>
      </c>
      <c r="M57" t="s">
        <v>947</v>
      </c>
      <c r="R57">
        <v>37282</v>
      </c>
      <c r="T57">
        <v>27</v>
      </c>
    </row>
    <row r="58" spans="1:20" x14ac:dyDescent="0.2">
      <c r="A58" t="s">
        <v>748</v>
      </c>
      <c r="B58" t="s">
        <v>624</v>
      </c>
      <c r="D58" t="s">
        <v>890</v>
      </c>
      <c r="E58" t="s">
        <v>900</v>
      </c>
      <c r="F58">
        <v>4</v>
      </c>
      <c r="G58" t="s">
        <v>393</v>
      </c>
      <c r="H58" t="s">
        <v>901</v>
      </c>
      <c r="I58">
        <v>10</v>
      </c>
      <c r="L58" t="s">
        <v>1109</v>
      </c>
      <c r="M58" t="s">
        <v>948</v>
      </c>
      <c r="R58">
        <v>34331</v>
      </c>
      <c r="T58">
        <v>21</v>
      </c>
    </row>
    <row r="59" spans="1:20" x14ac:dyDescent="0.2">
      <c r="A59" t="s">
        <v>749</v>
      </c>
      <c r="B59" t="s">
        <v>624</v>
      </c>
      <c r="D59" t="s">
        <v>890</v>
      </c>
      <c r="E59" t="s">
        <v>900</v>
      </c>
      <c r="F59">
        <v>4</v>
      </c>
      <c r="G59" t="s">
        <v>393</v>
      </c>
      <c r="H59" t="s">
        <v>901</v>
      </c>
      <c r="I59">
        <v>10</v>
      </c>
      <c r="L59" t="s">
        <v>1110</v>
      </c>
      <c r="M59" t="s">
        <v>949</v>
      </c>
      <c r="R59">
        <v>27633</v>
      </c>
      <c r="T59">
        <v>25</v>
      </c>
    </row>
    <row r="60" spans="1:20" x14ac:dyDescent="0.2">
      <c r="A60" t="s">
        <v>750</v>
      </c>
      <c r="B60" t="s">
        <v>624</v>
      </c>
      <c r="D60" t="s">
        <v>890</v>
      </c>
      <c r="E60" t="s">
        <v>900</v>
      </c>
      <c r="F60">
        <v>4</v>
      </c>
      <c r="G60" t="s">
        <v>393</v>
      </c>
      <c r="H60" t="s">
        <v>901</v>
      </c>
      <c r="I60">
        <v>10</v>
      </c>
      <c r="L60" t="s">
        <v>1111</v>
      </c>
      <c r="M60" t="s">
        <v>950</v>
      </c>
      <c r="R60">
        <v>35129</v>
      </c>
      <c r="T60">
        <v>24</v>
      </c>
    </row>
    <row r="61" spans="1:20" x14ac:dyDescent="0.2">
      <c r="A61" t="s">
        <v>751</v>
      </c>
      <c r="B61" t="s">
        <v>624</v>
      </c>
      <c r="D61" t="s">
        <v>890</v>
      </c>
      <c r="E61" t="s">
        <v>900</v>
      </c>
      <c r="F61">
        <v>4</v>
      </c>
      <c r="G61" t="s">
        <v>393</v>
      </c>
      <c r="H61" t="s">
        <v>901</v>
      </c>
      <c r="I61">
        <v>10</v>
      </c>
      <c r="L61" t="s">
        <v>1112</v>
      </c>
      <c r="M61" t="s">
        <v>951</v>
      </c>
      <c r="R61">
        <v>31472</v>
      </c>
      <c r="T61">
        <v>19</v>
      </c>
    </row>
    <row r="62" spans="1:20" x14ac:dyDescent="0.2">
      <c r="A62" t="s">
        <v>752</v>
      </c>
      <c r="B62" t="s">
        <v>624</v>
      </c>
      <c r="D62" t="s">
        <v>890</v>
      </c>
      <c r="E62" t="s">
        <v>900</v>
      </c>
      <c r="F62">
        <v>4</v>
      </c>
      <c r="G62" t="s">
        <v>393</v>
      </c>
      <c r="H62" t="s">
        <v>901</v>
      </c>
      <c r="I62">
        <v>10</v>
      </c>
      <c r="L62" t="s">
        <v>1113</v>
      </c>
      <c r="M62" t="s">
        <v>952</v>
      </c>
      <c r="R62">
        <v>39962</v>
      </c>
      <c r="T62">
        <v>17</v>
      </c>
    </row>
    <row r="63" spans="1:20" x14ac:dyDescent="0.2">
      <c r="A63" t="s">
        <v>753</v>
      </c>
      <c r="B63" t="s">
        <v>624</v>
      </c>
      <c r="D63" t="s">
        <v>890</v>
      </c>
      <c r="E63" t="s">
        <v>900</v>
      </c>
      <c r="F63">
        <v>4</v>
      </c>
      <c r="G63" t="s">
        <v>393</v>
      </c>
      <c r="H63" t="s">
        <v>901</v>
      </c>
      <c r="I63">
        <v>10</v>
      </c>
      <c r="L63" t="s">
        <v>1114</v>
      </c>
      <c r="M63" t="s">
        <v>953</v>
      </c>
      <c r="R63">
        <v>60354</v>
      </c>
      <c r="T63">
        <v>16</v>
      </c>
    </row>
    <row r="64" spans="1:20" x14ac:dyDescent="0.2">
      <c r="A64" t="s">
        <v>754</v>
      </c>
      <c r="B64" t="s">
        <v>624</v>
      </c>
      <c r="D64" t="s">
        <v>890</v>
      </c>
      <c r="E64" t="s">
        <v>900</v>
      </c>
      <c r="F64">
        <v>4</v>
      </c>
      <c r="G64" t="s">
        <v>393</v>
      </c>
      <c r="H64" t="s">
        <v>901</v>
      </c>
      <c r="I64">
        <v>10</v>
      </c>
      <c r="L64" t="s">
        <v>1115</v>
      </c>
      <c r="M64" t="s">
        <v>954</v>
      </c>
      <c r="R64">
        <v>45622</v>
      </c>
      <c r="T64">
        <v>22</v>
      </c>
    </row>
    <row r="65" spans="1:20" x14ac:dyDescent="0.2">
      <c r="A65" t="s">
        <v>755</v>
      </c>
      <c r="B65" t="s">
        <v>624</v>
      </c>
      <c r="D65" t="s">
        <v>890</v>
      </c>
      <c r="E65" t="s">
        <v>900</v>
      </c>
      <c r="F65">
        <v>4</v>
      </c>
      <c r="G65" t="s">
        <v>393</v>
      </c>
      <c r="H65" t="s">
        <v>901</v>
      </c>
      <c r="I65">
        <v>10</v>
      </c>
      <c r="L65" t="s">
        <v>1116</v>
      </c>
      <c r="M65" t="s">
        <v>955</v>
      </c>
      <c r="R65">
        <v>45540</v>
      </c>
      <c r="T65">
        <v>22</v>
      </c>
    </row>
    <row r="66" spans="1:20" x14ac:dyDescent="0.2">
      <c r="A66" t="s">
        <v>756</v>
      </c>
      <c r="B66" t="s">
        <v>624</v>
      </c>
      <c r="D66" t="s">
        <v>890</v>
      </c>
      <c r="E66" t="s">
        <v>900</v>
      </c>
      <c r="F66">
        <v>4</v>
      </c>
      <c r="G66" t="s">
        <v>393</v>
      </c>
      <c r="H66" t="s">
        <v>901</v>
      </c>
      <c r="I66">
        <v>10</v>
      </c>
      <c r="L66" t="s">
        <v>1117</v>
      </c>
      <c r="M66" t="s">
        <v>956</v>
      </c>
      <c r="R66">
        <v>43376</v>
      </c>
      <c r="T66">
        <v>20</v>
      </c>
    </row>
    <row r="67" spans="1:20" x14ac:dyDescent="0.2">
      <c r="A67" t="s">
        <v>757</v>
      </c>
      <c r="B67" t="s">
        <v>624</v>
      </c>
      <c r="D67" t="s">
        <v>890</v>
      </c>
      <c r="E67" t="s">
        <v>900</v>
      </c>
      <c r="F67">
        <v>4</v>
      </c>
      <c r="G67" t="s">
        <v>393</v>
      </c>
      <c r="H67" t="s">
        <v>901</v>
      </c>
      <c r="I67">
        <v>10</v>
      </c>
      <c r="L67" t="s">
        <v>1118</v>
      </c>
      <c r="M67" t="s">
        <v>957</v>
      </c>
      <c r="R67">
        <v>48588</v>
      </c>
      <c r="T67">
        <v>23</v>
      </c>
    </row>
    <row r="68" spans="1:20" x14ac:dyDescent="0.2">
      <c r="A68" t="s">
        <v>758</v>
      </c>
      <c r="B68" t="s">
        <v>624</v>
      </c>
      <c r="D68" t="s">
        <v>890</v>
      </c>
      <c r="E68" t="s">
        <v>900</v>
      </c>
      <c r="F68">
        <v>4</v>
      </c>
      <c r="G68" t="s">
        <v>393</v>
      </c>
      <c r="H68" t="s">
        <v>901</v>
      </c>
      <c r="I68">
        <v>10</v>
      </c>
      <c r="L68" t="s">
        <v>1119</v>
      </c>
      <c r="M68" t="s">
        <v>958</v>
      </c>
      <c r="R68">
        <v>33143</v>
      </c>
      <c r="T68">
        <v>27</v>
      </c>
    </row>
    <row r="69" spans="1:20" x14ac:dyDescent="0.2">
      <c r="A69" t="s">
        <v>759</v>
      </c>
      <c r="B69" t="s">
        <v>624</v>
      </c>
      <c r="D69" t="s">
        <v>890</v>
      </c>
      <c r="E69" t="s">
        <v>900</v>
      </c>
      <c r="F69">
        <v>4</v>
      </c>
      <c r="G69" t="s">
        <v>393</v>
      </c>
      <c r="H69" t="s">
        <v>901</v>
      </c>
      <c r="I69">
        <v>10</v>
      </c>
      <c r="L69" t="s">
        <v>1120</v>
      </c>
      <c r="M69" t="s">
        <v>1121</v>
      </c>
      <c r="R69">
        <v>2257</v>
      </c>
      <c r="T69">
        <v>2</v>
      </c>
    </row>
    <row r="70" spans="1:20" x14ac:dyDescent="0.2">
      <c r="A70" t="s">
        <v>760</v>
      </c>
      <c r="B70" t="s">
        <v>624</v>
      </c>
      <c r="D70" t="s">
        <v>890</v>
      </c>
      <c r="E70" t="s">
        <v>900</v>
      </c>
      <c r="F70">
        <v>4</v>
      </c>
      <c r="G70" t="s">
        <v>393</v>
      </c>
      <c r="H70" t="s">
        <v>901</v>
      </c>
      <c r="I70">
        <v>10</v>
      </c>
      <c r="L70" t="s">
        <v>1122</v>
      </c>
      <c r="M70" t="s">
        <v>1123</v>
      </c>
      <c r="R70">
        <v>327</v>
      </c>
      <c r="T70">
        <v>1</v>
      </c>
    </row>
    <row r="71" spans="1:20" x14ac:dyDescent="0.2">
      <c r="A71" t="s">
        <v>761</v>
      </c>
      <c r="B71" t="s">
        <v>624</v>
      </c>
      <c r="D71" t="s">
        <v>893</v>
      </c>
      <c r="E71" t="s">
        <v>900</v>
      </c>
      <c r="F71">
        <v>4</v>
      </c>
      <c r="G71" t="s">
        <v>393</v>
      </c>
      <c r="H71" t="s">
        <v>901</v>
      </c>
      <c r="I71">
        <v>10</v>
      </c>
      <c r="L71" t="s">
        <v>1124</v>
      </c>
      <c r="M71" t="s">
        <v>959</v>
      </c>
      <c r="R71">
        <v>29426</v>
      </c>
      <c r="T71">
        <v>15</v>
      </c>
    </row>
    <row r="72" spans="1:20" x14ac:dyDescent="0.2">
      <c r="A72" t="s">
        <v>762</v>
      </c>
      <c r="B72" t="s">
        <v>624</v>
      </c>
      <c r="D72" t="s">
        <v>893</v>
      </c>
      <c r="E72" t="s">
        <v>900</v>
      </c>
      <c r="F72">
        <v>4</v>
      </c>
      <c r="G72" t="s">
        <v>393</v>
      </c>
      <c r="H72" t="s">
        <v>901</v>
      </c>
      <c r="I72">
        <v>10</v>
      </c>
      <c r="L72" t="s">
        <v>1125</v>
      </c>
      <c r="M72" t="s">
        <v>960</v>
      </c>
      <c r="R72">
        <v>42172</v>
      </c>
      <c r="T72">
        <v>23</v>
      </c>
    </row>
    <row r="73" spans="1:20" x14ac:dyDescent="0.2">
      <c r="A73" t="s">
        <v>763</v>
      </c>
      <c r="B73" t="s">
        <v>624</v>
      </c>
      <c r="D73" t="s">
        <v>893</v>
      </c>
      <c r="E73" t="s">
        <v>900</v>
      </c>
      <c r="F73">
        <v>4</v>
      </c>
      <c r="G73" t="s">
        <v>393</v>
      </c>
      <c r="H73" t="s">
        <v>901</v>
      </c>
      <c r="I73">
        <v>10</v>
      </c>
      <c r="L73" t="s">
        <v>1126</v>
      </c>
      <c r="M73" t="s">
        <v>961</v>
      </c>
      <c r="R73">
        <v>36399</v>
      </c>
      <c r="T73">
        <v>19</v>
      </c>
    </row>
    <row r="74" spans="1:20" x14ac:dyDescent="0.2">
      <c r="A74" t="s">
        <v>764</v>
      </c>
      <c r="B74" t="s">
        <v>624</v>
      </c>
      <c r="D74" t="s">
        <v>893</v>
      </c>
      <c r="E74" t="s">
        <v>900</v>
      </c>
      <c r="F74">
        <v>4</v>
      </c>
      <c r="G74" t="s">
        <v>393</v>
      </c>
      <c r="H74" t="s">
        <v>901</v>
      </c>
      <c r="I74">
        <v>10</v>
      </c>
      <c r="L74" t="s">
        <v>1127</v>
      </c>
      <c r="M74" t="s">
        <v>962</v>
      </c>
      <c r="R74">
        <v>33955</v>
      </c>
      <c r="T74">
        <v>20</v>
      </c>
    </row>
    <row r="75" spans="1:20" x14ac:dyDescent="0.2">
      <c r="A75" t="s">
        <v>765</v>
      </c>
      <c r="B75" t="s">
        <v>624</v>
      </c>
      <c r="D75" t="s">
        <v>893</v>
      </c>
      <c r="E75" t="s">
        <v>900</v>
      </c>
      <c r="F75">
        <v>4</v>
      </c>
      <c r="G75" t="s">
        <v>393</v>
      </c>
      <c r="H75" t="s">
        <v>901</v>
      </c>
      <c r="I75">
        <v>10</v>
      </c>
      <c r="L75" t="s">
        <v>1128</v>
      </c>
      <c r="M75" t="s">
        <v>963</v>
      </c>
      <c r="R75">
        <v>43301</v>
      </c>
      <c r="T75">
        <v>20</v>
      </c>
    </row>
    <row r="76" spans="1:20" x14ac:dyDescent="0.2">
      <c r="A76" t="s">
        <v>766</v>
      </c>
      <c r="B76" t="s">
        <v>624</v>
      </c>
      <c r="D76" t="s">
        <v>893</v>
      </c>
      <c r="E76" t="s">
        <v>900</v>
      </c>
      <c r="F76">
        <v>4</v>
      </c>
      <c r="G76" t="s">
        <v>393</v>
      </c>
      <c r="H76" t="s">
        <v>901</v>
      </c>
      <c r="I76">
        <v>10</v>
      </c>
      <c r="L76" t="s">
        <v>1129</v>
      </c>
      <c r="M76" t="s">
        <v>964</v>
      </c>
      <c r="R76">
        <v>30453</v>
      </c>
      <c r="T76">
        <v>22</v>
      </c>
    </row>
    <row r="77" spans="1:20" x14ac:dyDescent="0.2">
      <c r="A77" t="s">
        <v>767</v>
      </c>
      <c r="B77" t="s">
        <v>624</v>
      </c>
      <c r="D77" t="s">
        <v>893</v>
      </c>
      <c r="E77" t="s">
        <v>900</v>
      </c>
      <c r="F77">
        <v>4</v>
      </c>
      <c r="G77" t="s">
        <v>393</v>
      </c>
      <c r="H77" t="s">
        <v>901</v>
      </c>
      <c r="I77">
        <v>10</v>
      </c>
      <c r="L77" t="s">
        <v>1130</v>
      </c>
      <c r="M77" t="s">
        <v>965</v>
      </c>
      <c r="R77">
        <v>40384</v>
      </c>
      <c r="T77">
        <v>21</v>
      </c>
    </row>
    <row r="78" spans="1:20" x14ac:dyDescent="0.2">
      <c r="A78" t="s">
        <v>768</v>
      </c>
      <c r="B78" t="s">
        <v>624</v>
      </c>
      <c r="D78" t="s">
        <v>893</v>
      </c>
      <c r="E78" t="s">
        <v>900</v>
      </c>
      <c r="F78">
        <v>4</v>
      </c>
      <c r="G78" t="s">
        <v>393</v>
      </c>
      <c r="H78" t="s">
        <v>901</v>
      </c>
      <c r="I78">
        <v>10</v>
      </c>
      <c r="L78" t="s">
        <v>1131</v>
      </c>
      <c r="M78" t="s">
        <v>966</v>
      </c>
      <c r="R78">
        <v>37191</v>
      </c>
      <c r="T78">
        <v>22</v>
      </c>
    </row>
    <row r="79" spans="1:20" x14ac:dyDescent="0.2">
      <c r="A79" t="s">
        <v>769</v>
      </c>
      <c r="B79" t="s">
        <v>624</v>
      </c>
      <c r="D79" t="s">
        <v>893</v>
      </c>
      <c r="E79" t="s">
        <v>900</v>
      </c>
      <c r="F79">
        <v>4</v>
      </c>
      <c r="G79" t="s">
        <v>393</v>
      </c>
      <c r="H79" t="s">
        <v>901</v>
      </c>
      <c r="I79">
        <v>10</v>
      </c>
      <c r="L79" t="s">
        <v>1132</v>
      </c>
      <c r="M79" t="s">
        <v>967</v>
      </c>
      <c r="R79">
        <v>24661</v>
      </c>
      <c r="T79">
        <v>26</v>
      </c>
    </row>
    <row r="80" spans="1:20" x14ac:dyDescent="0.2">
      <c r="A80" t="s">
        <v>770</v>
      </c>
      <c r="B80" t="s">
        <v>624</v>
      </c>
      <c r="D80" t="s">
        <v>893</v>
      </c>
      <c r="E80" t="s">
        <v>900</v>
      </c>
      <c r="F80">
        <v>4</v>
      </c>
      <c r="G80" t="s">
        <v>393</v>
      </c>
      <c r="H80" t="s">
        <v>901</v>
      </c>
      <c r="I80">
        <v>10</v>
      </c>
      <c r="L80" t="s">
        <v>1133</v>
      </c>
      <c r="M80" t="s">
        <v>968</v>
      </c>
      <c r="R80">
        <v>32013</v>
      </c>
      <c r="T80">
        <v>24</v>
      </c>
    </row>
    <row r="81" spans="1:20" x14ac:dyDescent="0.2">
      <c r="A81" t="s">
        <v>771</v>
      </c>
      <c r="B81" t="s">
        <v>624</v>
      </c>
      <c r="D81" t="s">
        <v>893</v>
      </c>
      <c r="E81" t="s">
        <v>900</v>
      </c>
      <c r="F81">
        <v>4</v>
      </c>
      <c r="G81" t="s">
        <v>393</v>
      </c>
      <c r="H81" t="s">
        <v>901</v>
      </c>
      <c r="I81">
        <v>10</v>
      </c>
      <c r="L81" t="s">
        <v>1134</v>
      </c>
      <c r="M81" t="s">
        <v>1135</v>
      </c>
      <c r="R81">
        <v>521</v>
      </c>
      <c r="T81">
        <v>2</v>
      </c>
    </row>
    <row r="82" spans="1:20" x14ac:dyDescent="0.2">
      <c r="A82" t="s">
        <v>772</v>
      </c>
      <c r="B82" t="s">
        <v>624</v>
      </c>
      <c r="D82" t="s">
        <v>893</v>
      </c>
      <c r="E82" t="s">
        <v>900</v>
      </c>
      <c r="F82">
        <v>4</v>
      </c>
      <c r="G82" t="s">
        <v>393</v>
      </c>
      <c r="H82" t="s">
        <v>901</v>
      </c>
      <c r="I82">
        <v>10</v>
      </c>
      <c r="L82" t="s">
        <v>1136</v>
      </c>
      <c r="M82" t="s">
        <v>1137</v>
      </c>
      <c r="R82">
        <v>957</v>
      </c>
      <c r="T82">
        <v>4</v>
      </c>
    </row>
    <row r="83" spans="1:20" x14ac:dyDescent="0.2">
      <c r="A83" t="s">
        <v>773</v>
      </c>
      <c r="B83" t="s">
        <v>624</v>
      </c>
      <c r="D83" t="s">
        <v>893</v>
      </c>
      <c r="E83" t="s">
        <v>900</v>
      </c>
      <c r="F83">
        <v>4</v>
      </c>
      <c r="G83" t="s">
        <v>393</v>
      </c>
      <c r="H83" t="s">
        <v>901</v>
      </c>
      <c r="I83">
        <v>10</v>
      </c>
      <c r="L83" t="s">
        <v>1138</v>
      </c>
      <c r="M83" t="s">
        <v>969</v>
      </c>
      <c r="R83">
        <v>51522</v>
      </c>
      <c r="T83">
        <v>18</v>
      </c>
    </row>
    <row r="84" spans="1:20" x14ac:dyDescent="0.2">
      <c r="A84" t="s">
        <v>774</v>
      </c>
      <c r="B84" t="s">
        <v>624</v>
      </c>
      <c r="D84" t="s">
        <v>893</v>
      </c>
      <c r="E84" t="s">
        <v>900</v>
      </c>
      <c r="F84">
        <v>4</v>
      </c>
      <c r="G84" t="s">
        <v>393</v>
      </c>
      <c r="H84" t="s">
        <v>901</v>
      </c>
      <c r="I84">
        <v>10</v>
      </c>
      <c r="L84" t="s">
        <v>1139</v>
      </c>
      <c r="M84" t="s">
        <v>970</v>
      </c>
      <c r="R84">
        <v>48481</v>
      </c>
      <c r="T84">
        <v>14</v>
      </c>
    </row>
    <row r="85" spans="1:20" x14ac:dyDescent="0.2">
      <c r="A85" t="s">
        <v>775</v>
      </c>
      <c r="B85" t="s">
        <v>624</v>
      </c>
      <c r="D85" t="s">
        <v>893</v>
      </c>
      <c r="E85" t="s">
        <v>900</v>
      </c>
      <c r="F85">
        <v>4</v>
      </c>
      <c r="G85" t="s">
        <v>393</v>
      </c>
      <c r="H85" t="s">
        <v>901</v>
      </c>
      <c r="I85">
        <v>10</v>
      </c>
      <c r="L85" t="s">
        <v>1140</v>
      </c>
      <c r="M85" t="s">
        <v>971</v>
      </c>
      <c r="R85">
        <v>33268</v>
      </c>
      <c r="T85">
        <v>17</v>
      </c>
    </row>
    <row r="86" spans="1:20" x14ac:dyDescent="0.2">
      <c r="A86" t="s">
        <v>776</v>
      </c>
      <c r="B86" t="s">
        <v>624</v>
      </c>
      <c r="D86" t="s">
        <v>893</v>
      </c>
      <c r="E86" t="s">
        <v>900</v>
      </c>
      <c r="F86">
        <v>4</v>
      </c>
      <c r="G86" t="s">
        <v>393</v>
      </c>
      <c r="H86" t="s">
        <v>901</v>
      </c>
      <c r="I86">
        <v>10</v>
      </c>
      <c r="L86" t="s">
        <v>1141</v>
      </c>
      <c r="M86" t="s">
        <v>972</v>
      </c>
      <c r="R86">
        <v>36986</v>
      </c>
      <c r="T86">
        <v>20</v>
      </c>
    </row>
    <row r="87" spans="1:20" x14ac:dyDescent="0.2">
      <c r="A87" t="s">
        <v>777</v>
      </c>
      <c r="B87" t="s">
        <v>624</v>
      </c>
      <c r="D87" t="s">
        <v>892</v>
      </c>
      <c r="E87" t="s">
        <v>900</v>
      </c>
      <c r="F87">
        <v>4</v>
      </c>
      <c r="G87" t="s">
        <v>393</v>
      </c>
      <c r="H87" t="s">
        <v>901</v>
      </c>
      <c r="I87">
        <v>10</v>
      </c>
      <c r="L87" t="s">
        <v>1142</v>
      </c>
      <c r="M87" t="s">
        <v>973</v>
      </c>
      <c r="R87">
        <v>91839</v>
      </c>
      <c r="T87">
        <v>16</v>
      </c>
    </row>
    <row r="88" spans="1:20" x14ac:dyDescent="0.2">
      <c r="A88" t="s">
        <v>778</v>
      </c>
      <c r="B88" t="s">
        <v>624</v>
      </c>
      <c r="D88" t="s">
        <v>892</v>
      </c>
      <c r="E88" t="s">
        <v>900</v>
      </c>
      <c r="F88">
        <v>4</v>
      </c>
      <c r="G88" t="s">
        <v>393</v>
      </c>
      <c r="H88" t="s">
        <v>901</v>
      </c>
      <c r="I88">
        <v>10</v>
      </c>
      <c r="L88" t="s">
        <v>1143</v>
      </c>
      <c r="M88" t="s">
        <v>974</v>
      </c>
      <c r="R88">
        <v>46339</v>
      </c>
      <c r="T88">
        <v>14</v>
      </c>
    </row>
    <row r="89" spans="1:20" x14ac:dyDescent="0.2">
      <c r="A89" t="s">
        <v>779</v>
      </c>
      <c r="B89" t="s">
        <v>624</v>
      </c>
      <c r="D89" t="s">
        <v>893</v>
      </c>
      <c r="E89" t="s">
        <v>900</v>
      </c>
      <c r="F89">
        <v>4</v>
      </c>
      <c r="G89" t="s">
        <v>393</v>
      </c>
      <c r="H89" t="s">
        <v>901</v>
      </c>
      <c r="I89">
        <v>10</v>
      </c>
      <c r="L89" t="s">
        <v>1144</v>
      </c>
      <c r="M89" t="s">
        <v>975</v>
      </c>
      <c r="R89">
        <v>47095</v>
      </c>
      <c r="T89">
        <v>19</v>
      </c>
    </row>
    <row r="90" spans="1:20" x14ac:dyDescent="0.2">
      <c r="A90" t="s">
        <v>780</v>
      </c>
      <c r="B90" t="s">
        <v>624</v>
      </c>
      <c r="D90" t="s">
        <v>893</v>
      </c>
      <c r="E90" t="s">
        <v>900</v>
      </c>
      <c r="F90">
        <v>4</v>
      </c>
      <c r="G90" t="s">
        <v>393</v>
      </c>
      <c r="H90" t="s">
        <v>901</v>
      </c>
      <c r="I90">
        <v>10</v>
      </c>
      <c r="L90" t="s">
        <v>1145</v>
      </c>
      <c r="M90" t="s">
        <v>976</v>
      </c>
      <c r="R90">
        <v>38219</v>
      </c>
      <c r="T90">
        <v>17</v>
      </c>
    </row>
    <row r="91" spans="1:20" x14ac:dyDescent="0.2">
      <c r="A91" t="s">
        <v>781</v>
      </c>
      <c r="B91" t="s">
        <v>624</v>
      </c>
      <c r="D91" t="s">
        <v>893</v>
      </c>
      <c r="E91" t="s">
        <v>900</v>
      </c>
      <c r="F91">
        <v>4</v>
      </c>
      <c r="G91" t="s">
        <v>393</v>
      </c>
      <c r="H91" t="s">
        <v>901</v>
      </c>
      <c r="I91">
        <v>10</v>
      </c>
      <c r="L91" t="s">
        <v>1146</v>
      </c>
      <c r="M91" t="s">
        <v>977</v>
      </c>
      <c r="R91">
        <v>62648</v>
      </c>
      <c r="T91">
        <v>15</v>
      </c>
    </row>
    <row r="92" spans="1:20" x14ac:dyDescent="0.2">
      <c r="A92" t="s">
        <v>782</v>
      </c>
      <c r="B92" t="s">
        <v>624</v>
      </c>
      <c r="D92" t="s">
        <v>893</v>
      </c>
      <c r="E92" t="s">
        <v>900</v>
      </c>
      <c r="F92">
        <v>4</v>
      </c>
      <c r="G92" t="s">
        <v>393</v>
      </c>
      <c r="H92" t="s">
        <v>901</v>
      </c>
      <c r="I92">
        <v>10</v>
      </c>
      <c r="L92" t="s">
        <v>1147</v>
      </c>
      <c r="M92" t="s">
        <v>978</v>
      </c>
      <c r="R92">
        <v>40494</v>
      </c>
      <c r="T92">
        <v>14</v>
      </c>
    </row>
    <row r="93" spans="1:20" x14ac:dyDescent="0.2">
      <c r="A93" t="s">
        <v>783</v>
      </c>
      <c r="B93" t="s">
        <v>624</v>
      </c>
      <c r="D93" t="s">
        <v>893</v>
      </c>
      <c r="E93" t="s">
        <v>900</v>
      </c>
      <c r="F93">
        <v>4</v>
      </c>
      <c r="G93" t="s">
        <v>393</v>
      </c>
      <c r="H93" t="s">
        <v>901</v>
      </c>
      <c r="I93">
        <v>10</v>
      </c>
      <c r="L93" t="s">
        <v>1148</v>
      </c>
      <c r="M93" t="s">
        <v>1149</v>
      </c>
      <c r="R93">
        <v>7</v>
      </c>
      <c r="T93">
        <v>2</v>
      </c>
    </row>
    <row r="94" spans="1:20" x14ac:dyDescent="0.2">
      <c r="A94" t="s">
        <v>784</v>
      </c>
      <c r="B94" t="s">
        <v>624</v>
      </c>
      <c r="D94" t="s">
        <v>893</v>
      </c>
      <c r="E94" t="s">
        <v>900</v>
      </c>
      <c r="F94">
        <v>4</v>
      </c>
      <c r="G94" t="s">
        <v>393</v>
      </c>
      <c r="H94" t="s">
        <v>901</v>
      </c>
      <c r="I94">
        <v>10</v>
      </c>
      <c r="L94" t="s">
        <v>1150</v>
      </c>
      <c r="M94" t="s">
        <v>1151</v>
      </c>
      <c r="R94">
        <v>182</v>
      </c>
      <c r="T94">
        <v>1</v>
      </c>
    </row>
    <row r="95" spans="1:20" x14ac:dyDescent="0.2">
      <c r="A95" t="s">
        <v>785</v>
      </c>
      <c r="B95" t="s">
        <v>624</v>
      </c>
      <c r="D95" t="s">
        <v>894</v>
      </c>
      <c r="E95" t="s">
        <v>900</v>
      </c>
      <c r="F95">
        <v>4</v>
      </c>
      <c r="G95" t="s">
        <v>393</v>
      </c>
      <c r="H95" t="s">
        <v>901</v>
      </c>
      <c r="I95">
        <v>10</v>
      </c>
      <c r="L95" t="s">
        <v>1152</v>
      </c>
      <c r="M95" t="s">
        <v>979</v>
      </c>
      <c r="R95">
        <v>61540</v>
      </c>
      <c r="T95">
        <v>18</v>
      </c>
    </row>
    <row r="96" spans="1:20" x14ac:dyDescent="0.2">
      <c r="A96" t="s">
        <v>786</v>
      </c>
      <c r="B96" t="s">
        <v>624</v>
      </c>
      <c r="D96" t="s">
        <v>894</v>
      </c>
      <c r="E96" t="s">
        <v>900</v>
      </c>
      <c r="F96">
        <v>4</v>
      </c>
      <c r="G96" t="s">
        <v>393</v>
      </c>
      <c r="H96" t="s">
        <v>901</v>
      </c>
      <c r="I96">
        <v>10</v>
      </c>
      <c r="L96" t="s">
        <v>1153</v>
      </c>
      <c r="M96" t="s">
        <v>980</v>
      </c>
      <c r="R96">
        <v>64756</v>
      </c>
      <c r="T96">
        <v>21</v>
      </c>
    </row>
    <row r="97" spans="1:20" x14ac:dyDescent="0.2">
      <c r="A97" t="s">
        <v>787</v>
      </c>
      <c r="B97" t="s">
        <v>624</v>
      </c>
      <c r="D97" t="s">
        <v>894</v>
      </c>
      <c r="E97" t="s">
        <v>900</v>
      </c>
      <c r="F97">
        <v>4</v>
      </c>
      <c r="G97" t="s">
        <v>393</v>
      </c>
      <c r="H97" t="s">
        <v>901</v>
      </c>
      <c r="I97">
        <v>10</v>
      </c>
      <c r="L97" t="s">
        <v>1154</v>
      </c>
      <c r="M97" t="s">
        <v>981</v>
      </c>
      <c r="R97">
        <v>68286</v>
      </c>
      <c r="T97">
        <v>18</v>
      </c>
    </row>
    <row r="98" spans="1:20" x14ac:dyDescent="0.2">
      <c r="A98" t="s">
        <v>788</v>
      </c>
      <c r="B98" t="s">
        <v>624</v>
      </c>
      <c r="D98" t="s">
        <v>894</v>
      </c>
      <c r="E98" t="s">
        <v>900</v>
      </c>
      <c r="F98">
        <v>4</v>
      </c>
      <c r="G98" t="s">
        <v>393</v>
      </c>
      <c r="H98" t="s">
        <v>901</v>
      </c>
      <c r="I98">
        <v>10</v>
      </c>
      <c r="L98" t="s">
        <v>1155</v>
      </c>
      <c r="M98" t="s">
        <v>982</v>
      </c>
      <c r="R98">
        <v>45394</v>
      </c>
      <c r="T98">
        <v>12</v>
      </c>
    </row>
    <row r="99" spans="1:20" x14ac:dyDescent="0.2">
      <c r="A99" t="s">
        <v>789</v>
      </c>
      <c r="B99" t="s">
        <v>624</v>
      </c>
      <c r="D99" t="s">
        <v>894</v>
      </c>
      <c r="E99" t="s">
        <v>900</v>
      </c>
      <c r="F99">
        <v>4</v>
      </c>
      <c r="G99" t="s">
        <v>393</v>
      </c>
      <c r="H99" t="s">
        <v>901</v>
      </c>
      <c r="I99">
        <v>10</v>
      </c>
      <c r="L99" t="s">
        <v>1156</v>
      </c>
      <c r="M99" t="s">
        <v>983</v>
      </c>
      <c r="R99">
        <v>71341</v>
      </c>
      <c r="T99">
        <v>16</v>
      </c>
    </row>
    <row r="100" spans="1:20" x14ac:dyDescent="0.2">
      <c r="A100" t="s">
        <v>790</v>
      </c>
      <c r="B100" t="s">
        <v>624</v>
      </c>
      <c r="D100" t="s">
        <v>894</v>
      </c>
      <c r="E100" t="s">
        <v>900</v>
      </c>
      <c r="F100">
        <v>4</v>
      </c>
      <c r="G100" t="s">
        <v>393</v>
      </c>
      <c r="H100" t="s">
        <v>901</v>
      </c>
      <c r="I100">
        <v>10</v>
      </c>
      <c r="L100" t="s">
        <v>1157</v>
      </c>
      <c r="M100" t="s">
        <v>984</v>
      </c>
      <c r="R100">
        <v>69745</v>
      </c>
      <c r="T100">
        <v>15</v>
      </c>
    </row>
    <row r="101" spans="1:20" x14ac:dyDescent="0.2">
      <c r="A101" t="s">
        <v>791</v>
      </c>
      <c r="B101" t="s">
        <v>624</v>
      </c>
      <c r="D101" t="s">
        <v>894</v>
      </c>
      <c r="E101" t="s">
        <v>900</v>
      </c>
      <c r="F101">
        <v>4</v>
      </c>
      <c r="G101" t="s">
        <v>393</v>
      </c>
      <c r="H101" t="s">
        <v>901</v>
      </c>
      <c r="I101">
        <v>10</v>
      </c>
      <c r="L101" t="s">
        <v>1158</v>
      </c>
      <c r="M101" t="s">
        <v>985</v>
      </c>
      <c r="R101">
        <v>68636</v>
      </c>
      <c r="T101">
        <v>13</v>
      </c>
    </row>
    <row r="102" spans="1:20" x14ac:dyDescent="0.2">
      <c r="A102" t="s">
        <v>792</v>
      </c>
      <c r="B102" t="s">
        <v>624</v>
      </c>
      <c r="D102" t="s">
        <v>894</v>
      </c>
      <c r="E102" t="s">
        <v>900</v>
      </c>
      <c r="F102">
        <v>4</v>
      </c>
      <c r="G102" t="s">
        <v>393</v>
      </c>
      <c r="H102" t="s">
        <v>901</v>
      </c>
      <c r="I102">
        <v>10</v>
      </c>
      <c r="L102" t="s">
        <v>1159</v>
      </c>
      <c r="M102" t="s">
        <v>986</v>
      </c>
      <c r="R102">
        <v>15021</v>
      </c>
      <c r="T102">
        <v>12</v>
      </c>
    </row>
    <row r="103" spans="1:20" x14ac:dyDescent="0.2">
      <c r="A103" t="s">
        <v>793</v>
      </c>
      <c r="B103" t="s">
        <v>624</v>
      </c>
      <c r="D103" t="s">
        <v>894</v>
      </c>
      <c r="E103" t="s">
        <v>900</v>
      </c>
      <c r="F103">
        <v>4</v>
      </c>
      <c r="G103" t="s">
        <v>393</v>
      </c>
      <c r="H103" t="s">
        <v>901</v>
      </c>
      <c r="I103">
        <v>10</v>
      </c>
      <c r="L103" t="s">
        <v>1160</v>
      </c>
      <c r="M103" t="s">
        <v>987</v>
      </c>
      <c r="R103">
        <v>66747</v>
      </c>
      <c r="T103">
        <v>14</v>
      </c>
    </row>
    <row r="104" spans="1:20" x14ac:dyDescent="0.2">
      <c r="A104" t="s">
        <v>794</v>
      </c>
      <c r="B104" t="s">
        <v>624</v>
      </c>
      <c r="D104" t="s">
        <v>894</v>
      </c>
      <c r="E104" t="s">
        <v>900</v>
      </c>
      <c r="F104">
        <v>4</v>
      </c>
      <c r="G104" t="s">
        <v>393</v>
      </c>
      <c r="H104" t="s">
        <v>901</v>
      </c>
      <c r="I104">
        <v>10</v>
      </c>
      <c r="L104" t="s">
        <v>1161</v>
      </c>
      <c r="M104" t="s">
        <v>988</v>
      </c>
      <c r="R104">
        <v>54501</v>
      </c>
      <c r="T104">
        <v>13</v>
      </c>
    </row>
    <row r="105" spans="1:20" x14ac:dyDescent="0.2">
      <c r="A105" t="s">
        <v>795</v>
      </c>
      <c r="B105" t="s">
        <v>624</v>
      </c>
      <c r="D105" t="s">
        <v>894</v>
      </c>
      <c r="E105" t="s">
        <v>900</v>
      </c>
      <c r="F105">
        <v>4</v>
      </c>
      <c r="G105" t="s">
        <v>393</v>
      </c>
      <c r="H105" t="s">
        <v>901</v>
      </c>
      <c r="I105">
        <v>10</v>
      </c>
      <c r="L105" t="s">
        <v>1162</v>
      </c>
      <c r="M105" t="s">
        <v>989</v>
      </c>
      <c r="R105">
        <v>65217</v>
      </c>
      <c r="T105">
        <v>11</v>
      </c>
    </row>
    <row r="106" spans="1:20" x14ac:dyDescent="0.2">
      <c r="A106" t="s">
        <v>796</v>
      </c>
      <c r="B106" t="s">
        <v>624</v>
      </c>
      <c r="D106" t="s">
        <v>894</v>
      </c>
      <c r="E106" t="s">
        <v>900</v>
      </c>
      <c r="F106">
        <v>4</v>
      </c>
      <c r="G106" t="s">
        <v>393</v>
      </c>
      <c r="H106" t="s">
        <v>901</v>
      </c>
      <c r="I106">
        <v>10</v>
      </c>
      <c r="L106" t="s">
        <v>1163</v>
      </c>
      <c r="M106" t="s">
        <v>990</v>
      </c>
      <c r="R106">
        <v>65989</v>
      </c>
      <c r="T106">
        <v>16</v>
      </c>
    </row>
    <row r="107" spans="1:20" x14ac:dyDescent="0.2">
      <c r="A107" t="s">
        <v>797</v>
      </c>
      <c r="B107" t="s">
        <v>624</v>
      </c>
      <c r="D107" t="s">
        <v>894</v>
      </c>
      <c r="E107" t="s">
        <v>900</v>
      </c>
      <c r="F107">
        <v>4</v>
      </c>
      <c r="G107" t="s">
        <v>393</v>
      </c>
      <c r="H107" t="s">
        <v>901</v>
      </c>
      <c r="I107">
        <v>10</v>
      </c>
      <c r="L107" t="s">
        <v>1164</v>
      </c>
      <c r="M107" t="s">
        <v>991</v>
      </c>
      <c r="R107">
        <v>104573</v>
      </c>
      <c r="T107">
        <v>14</v>
      </c>
    </row>
    <row r="108" spans="1:20" x14ac:dyDescent="0.2">
      <c r="A108" t="s">
        <v>798</v>
      </c>
      <c r="B108" t="s">
        <v>624</v>
      </c>
      <c r="D108" t="s">
        <v>894</v>
      </c>
      <c r="E108" t="s">
        <v>900</v>
      </c>
      <c r="F108">
        <v>4</v>
      </c>
      <c r="G108" t="s">
        <v>393</v>
      </c>
      <c r="H108" t="s">
        <v>901</v>
      </c>
      <c r="I108">
        <v>10</v>
      </c>
      <c r="L108" t="s">
        <v>1165</v>
      </c>
      <c r="M108" t="s">
        <v>992</v>
      </c>
      <c r="R108">
        <v>94462</v>
      </c>
      <c r="T108">
        <v>11</v>
      </c>
    </row>
    <row r="109" spans="1:20" x14ac:dyDescent="0.2">
      <c r="A109" t="s">
        <v>799</v>
      </c>
      <c r="B109" t="s">
        <v>624</v>
      </c>
      <c r="D109" t="s">
        <v>894</v>
      </c>
      <c r="E109" t="s">
        <v>900</v>
      </c>
      <c r="F109">
        <v>4</v>
      </c>
      <c r="G109" t="s">
        <v>393</v>
      </c>
      <c r="H109" t="s">
        <v>901</v>
      </c>
      <c r="I109">
        <v>10</v>
      </c>
      <c r="L109" t="s">
        <v>1166</v>
      </c>
      <c r="M109" t="s">
        <v>1167</v>
      </c>
      <c r="R109">
        <v>6535</v>
      </c>
      <c r="T109">
        <v>5</v>
      </c>
    </row>
    <row r="110" spans="1:20" x14ac:dyDescent="0.2">
      <c r="A110" t="s">
        <v>800</v>
      </c>
      <c r="B110" t="s">
        <v>624</v>
      </c>
      <c r="D110" t="s">
        <v>894</v>
      </c>
      <c r="E110" t="s">
        <v>900</v>
      </c>
      <c r="F110">
        <v>4</v>
      </c>
      <c r="G110" t="s">
        <v>393</v>
      </c>
      <c r="H110" t="s">
        <v>901</v>
      </c>
      <c r="I110">
        <v>10</v>
      </c>
      <c r="L110" t="s">
        <v>1168</v>
      </c>
      <c r="M110" t="s">
        <v>1169</v>
      </c>
      <c r="R110">
        <v>1073</v>
      </c>
      <c r="T110">
        <v>3</v>
      </c>
    </row>
    <row r="111" spans="1:20" x14ac:dyDescent="0.2">
      <c r="A111" t="s">
        <v>801</v>
      </c>
      <c r="B111" t="s">
        <v>624</v>
      </c>
      <c r="D111" t="s">
        <v>895</v>
      </c>
      <c r="E111" t="s">
        <v>900</v>
      </c>
      <c r="F111">
        <v>4</v>
      </c>
      <c r="G111" t="s">
        <v>393</v>
      </c>
      <c r="H111" t="s">
        <v>901</v>
      </c>
      <c r="I111">
        <v>10</v>
      </c>
      <c r="L111" t="s">
        <v>1170</v>
      </c>
      <c r="M111" t="s">
        <v>993</v>
      </c>
      <c r="R111">
        <v>122992</v>
      </c>
      <c r="T111">
        <v>19</v>
      </c>
    </row>
    <row r="112" spans="1:20" x14ac:dyDescent="0.2">
      <c r="A112" t="s">
        <v>802</v>
      </c>
      <c r="B112" t="s">
        <v>624</v>
      </c>
      <c r="D112" t="s">
        <v>895</v>
      </c>
      <c r="E112" t="s">
        <v>900</v>
      </c>
      <c r="F112">
        <v>4</v>
      </c>
      <c r="G112" t="s">
        <v>393</v>
      </c>
      <c r="H112" t="s">
        <v>901</v>
      </c>
      <c r="I112">
        <v>10</v>
      </c>
      <c r="L112" t="s">
        <v>1171</v>
      </c>
      <c r="M112" t="s">
        <v>994</v>
      </c>
      <c r="R112">
        <v>94013</v>
      </c>
      <c r="T112">
        <v>23</v>
      </c>
    </row>
    <row r="113" spans="1:20" x14ac:dyDescent="0.2">
      <c r="A113" t="s">
        <v>803</v>
      </c>
      <c r="B113" t="s">
        <v>624</v>
      </c>
      <c r="D113" t="s">
        <v>895</v>
      </c>
      <c r="E113" t="s">
        <v>900</v>
      </c>
      <c r="F113">
        <v>4</v>
      </c>
      <c r="G113" t="s">
        <v>393</v>
      </c>
      <c r="H113" t="s">
        <v>901</v>
      </c>
      <c r="I113">
        <v>10</v>
      </c>
      <c r="L113" t="s">
        <v>1172</v>
      </c>
      <c r="M113" t="s">
        <v>995</v>
      </c>
      <c r="R113">
        <v>71466</v>
      </c>
      <c r="T113">
        <v>15</v>
      </c>
    </row>
    <row r="114" spans="1:20" x14ac:dyDescent="0.2">
      <c r="A114" t="s">
        <v>804</v>
      </c>
      <c r="B114" t="s">
        <v>624</v>
      </c>
      <c r="D114" t="s">
        <v>895</v>
      </c>
      <c r="E114" t="s">
        <v>900</v>
      </c>
      <c r="F114">
        <v>4</v>
      </c>
      <c r="G114" t="s">
        <v>393</v>
      </c>
      <c r="H114" t="s">
        <v>901</v>
      </c>
      <c r="I114">
        <v>10</v>
      </c>
      <c r="L114" t="s">
        <v>1173</v>
      </c>
      <c r="M114" t="s">
        <v>996</v>
      </c>
      <c r="R114">
        <v>91690</v>
      </c>
      <c r="T114">
        <v>21</v>
      </c>
    </row>
    <row r="115" spans="1:20" x14ac:dyDescent="0.2">
      <c r="A115" t="s">
        <v>805</v>
      </c>
      <c r="B115" t="s">
        <v>624</v>
      </c>
      <c r="D115" t="s">
        <v>895</v>
      </c>
      <c r="E115" t="s">
        <v>900</v>
      </c>
      <c r="F115">
        <v>4</v>
      </c>
      <c r="G115" t="s">
        <v>393</v>
      </c>
      <c r="H115" t="s">
        <v>901</v>
      </c>
      <c r="I115">
        <v>10</v>
      </c>
      <c r="L115" t="s">
        <v>1174</v>
      </c>
      <c r="M115" t="s">
        <v>997</v>
      </c>
      <c r="R115">
        <v>103649</v>
      </c>
      <c r="T115">
        <v>20</v>
      </c>
    </row>
    <row r="116" spans="1:20" x14ac:dyDescent="0.2">
      <c r="A116" t="s">
        <v>806</v>
      </c>
      <c r="B116" t="s">
        <v>624</v>
      </c>
      <c r="D116" t="s">
        <v>895</v>
      </c>
      <c r="E116" t="s">
        <v>900</v>
      </c>
      <c r="F116">
        <v>4</v>
      </c>
      <c r="G116" t="s">
        <v>393</v>
      </c>
      <c r="H116" t="s">
        <v>901</v>
      </c>
      <c r="I116">
        <v>10</v>
      </c>
      <c r="L116" t="s">
        <v>1175</v>
      </c>
      <c r="M116" t="s">
        <v>998</v>
      </c>
      <c r="R116">
        <v>86543</v>
      </c>
      <c r="T116">
        <v>21</v>
      </c>
    </row>
    <row r="117" spans="1:20" x14ac:dyDescent="0.2">
      <c r="A117" t="s">
        <v>807</v>
      </c>
      <c r="B117" t="s">
        <v>624</v>
      </c>
      <c r="D117" t="s">
        <v>895</v>
      </c>
      <c r="E117" t="s">
        <v>900</v>
      </c>
      <c r="F117">
        <v>4</v>
      </c>
      <c r="G117" t="s">
        <v>393</v>
      </c>
      <c r="H117" t="s">
        <v>901</v>
      </c>
      <c r="I117">
        <v>10</v>
      </c>
      <c r="L117" t="s">
        <v>1176</v>
      </c>
      <c r="M117" t="s">
        <v>999</v>
      </c>
      <c r="R117">
        <v>101255</v>
      </c>
      <c r="T117">
        <v>16</v>
      </c>
    </row>
    <row r="118" spans="1:20" x14ac:dyDescent="0.2">
      <c r="A118" t="s">
        <v>808</v>
      </c>
      <c r="B118" t="s">
        <v>624</v>
      </c>
      <c r="D118" t="s">
        <v>895</v>
      </c>
      <c r="E118" t="s">
        <v>900</v>
      </c>
      <c r="F118">
        <v>4</v>
      </c>
      <c r="G118" t="s">
        <v>393</v>
      </c>
      <c r="H118" t="s">
        <v>901</v>
      </c>
      <c r="I118">
        <v>10</v>
      </c>
      <c r="L118" t="s">
        <v>1177</v>
      </c>
      <c r="M118" t="s">
        <v>1000</v>
      </c>
      <c r="R118">
        <v>70574</v>
      </c>
      <c r="T118">
        <v>15</v>
      </c>
    </row>
    <row r="119" spans="1:20" x14ac:dyDescent="0.2">
      <c r="A119" t="s">
        <v>809</v>
      </c>
      <c r="B119" t="s">
        <v>624</v>
      </c>
      <c r="D119" t="s">
        <v>895</v>
      </c>
      <c r="E119" t="s">
        <v>900</v>
      </c>
      <c r="F119">
        <v>4</v>
      </c>
      <c r="G119" t="s">
        <v>393</v>
      </c>
      <c r="H119" t="s">
        <v>901</v>
      </c>
      <c r="I119">
        <v>10</v>
      </c>
      <c r="L119" t="s">
        <v>1178</v>
      </c>
      <c r="M119" t="s">
        <v>1001</v>
      </c>
      <c r="R119">
        <v>65519</v>
      </c>
      <c r="T119">
        <v>16</v>
      </c>
    </row>
    <row r="120" spans="1:20" x14ac:dyDescent="0.2">
      <c r="A120" t="s">
        <v>810</v>
      </c>
      <c r="B120" t="s">
        <v>624</v>
      </c>
      <c r="D120" t="s">
        <v>895</v>
      </c>
      <c r="E120" t="s">
        <v>900</v>
      </c>
      <c r="F120">
        <v>4</v>
      </c>
      <c r="G120" t="s">
        <v>393</v>
      </c>
      <c r="H120" t="s">
        <v>901</v>
      </c>
      <c r="I120">
        <v>10</v>
      </c>
      <c r="L120" t="s">
        <v>1179</v>
      </c>
      <c r="M120" t="s">
        <v>1002</v>
      </c>
      <c r="R120">
        <v>64971</v>
      </c>
      <c r="T120">
        <v>14</v>
      </c>
    </row>
    <row r="121" spans="1:20" x14ac:dyDescent="0.2">
      <c r="A121" t="s">
        <v>811</v>
      </c>
      <c r="B121" t="s">
        <v>624</v>
      </c>
      <c r="D121" t="s">
        <v>895</v>
      </c>
      <c r="E121" t="s">
        <v>900</v>
      </c>
      <c r="F121">
        <v>4</v>
      </c>
      <c r="G121" t="s">
        <v>393</v>
      </c>
      <c r="H121" t="s">
        <v>901</v>
      </c>
      <c r="I121">
        <v>10</v>
      </c>
      <c r="L121" t="s">
        <v>1180</v>
      </c>
      <c r="M121" t="s">
        <v>1181</v>
      </c>
      <c r="R121">
        <v>2771</v>
      </c>
      <c r="T121">
        <v>5</v>
      </c>
    </row>
    <row r="122" spans="1:20" x14ac:dyDescent="0.2">
      <c r="A122" t="s">
        <v>812</v>
      </c>
      <c r="B122" t="s">
        <v>624</v>
      </c>
      <c r="D122" t="s">
        <v>895</v>
      </c>
      <c r="E122" t="s">
        <v>900</v>
      </c>
      <c r="F122">
        <v>4</v>
      </c>
      <c r="G122" t="s">
        <v>393</v>
      </c>
      <c r="H122" t="s">
        <v>901</v>
      </c>
      <c r="I122">
        <v>10</v>
      </c>
      <c r="L122" t="s">
        <v>1182</v>
      </c>
      <c r="M122" t="s">
        <v>1183</v>
      </c>
      <c r="R122">
        <v>38726</v>
      </c>
      <c r="T122">
        <v>4</v>
      </c>
    </row>
    <row r="123" spans="1:20" x14ac:dyDescent="0.2">
      <c r="A123" t="s">
        <v>813</v>
      </c>
      <c r="B123" t="s">
        <v>624</v>
      </c>
      <c r="D123" t="s">
        <v>896</v>
      </c>
      <c r="E123" t="s">
        <v>900</v>
      </c>
      <c r="F123">
        <v>4</v>
      </c>
      <c r="G123" t="s">
        <v>393</v>
      </c>
      <c r="H123" t="s">
        <v>901</v>
      </c>
      <c r="I123">
        <v>10</v>
      </c>
      <c r="L123" t="s">
        <v>1184</v>
      </c>
      <c r="M123" t="s">
        <v>1003</v>
      </c>
      <c r="R123">
        <v>98367</v>
      </c>
      <c r="T123">
        <v>27</v>
      </c>
    </row>
    <row r="124" spans="1:20" x14ac:dyDescent="0.2">
      <c r="A124" t="s">
        <v>814</v>
      </c>
      <c r="B124" t="s">
        <v>624</v>
      </c>
      <c r="D124" t="s">
        <v>896</v>
      </c>
      <c r="E124" t="s">
        <v>900</v>
      </c>
      <c r="F124">
        <v>4</v>
      </c>
      <c r="G124" t="s">
        <v>393</v>
      </c>
      <c r="H124" t="s">
        <v>901</v>
      </c>
      <c r="I124">
        <v>10</v>
      </c>
      <c r="L124" t="s">
        <v>1185</v>
      </c>
      <c r="M124" t="s">
        <v>1004</v>
      </c>
      <c r="R124">
        <v>98074</v>
      </c>
      <c r="T124">
        <v>30</v>
      </c>
    </row>
    <row r="125" spans="1:20" x14ac:dyDescent="0.2">
      <c r="A125" t="s">
        <v>815</v>
      </c>
      <c r="B125" t="s">
        <v>624</v>
      </c>
      <c r="D125" t="s">
        <v>896</v>
      </c>
      <c r="E125" t="s">
        <v>900</v>
      </c>
      <c r="F125">
        <v>4</v>
      </c>
      <c r="G125" t="s">
        <v>393</v>
      </c>
      <c r="H125" t="s">
        <v>901</v>
      </c>
      <c r="I125">
        <v>10</v>
      </c>
      <c r="L125" t="s">
        <v>1186</v>
      </c>
      <c r="M125" t="s">
        <v>1005</v>
      </c>
      <c r="R125">
        <v>60390</v>
      </c>
      <c r="T125">
        <v>24</v>
      </c>
    </row>
    <row r="126" spans="1:20" x14ac:dyDescent="0.2">
      <c r="A126" t="s">
        <v>816</v>
      </c>
      <c r="B126" t="s">
        <v>624</v>
      </c>
      <c r="D126" t="s">
        <v>896</v>
      </c>
      <c r="E126" t="s">
        <v>900</v>
      </c>
      <c r="F126">
        <v>4</v>
      </c>
      <c r="G126" t="s">
        <v>393</v>
      </c>
      <c r="H126" t="s">
        <v>901</v>
      </c>
      <c r="I126">
        <v>10</v>
      </c>
      <c r="L126" t="s">
        <v>1187</v>
      </c>
      <c r="M126" t="s">
        <v>1006</v>
      </c>
      <c r="R126">
        <v>80310</v>
      </c>
      <c r="T126">
        <v>19</v>
      </c>
    </row>
    <row r="127" spans="1:20" x14ac:dyDescent="0.2">
      <c r="A127" t="s">
        <v>817</v>
      </c>
      <c r="B127" t="s">
        <v>624</v>
      </c>
      <c r="D127" t="s">
        <v>896</v>
      </c>
      <c r="E127" t="s">
        <v>900</v>
      </c>
      <c r="F127">
        <v>4</v>
      </c>
      <c r="G127" t="s">
        <v>393</v>
      </c>
      <c r="H127" t="s">
        <v>901</v>
      </c>
      <c r="I127">
        <v>10</v>
      </c>
      <c r="L127" t="s">
        <v>1188</v>
      </c>
      <c r="M127" t="s">
        <v>1007</v>
      </c>
      <c r="R127">
        <v>90573</v>
      </c>
      <c r="T127">
        <v>26</v>
      </c>
    </row>
    <row r="128" spans="1:20" x14ac:dyDescent="0.2">
      <c r="A128" t="s">
        <v>818</v>
      </c>
      <c r="B128" t="s">
        <v>624</v>
      </c>
      <c r="D128" t="s">
        <v>896</v>
      </c>
      <c r="E128" t="s">
        <v>900</v>
      </c>
      <c r="F128">
        <v>4</v>
      </c>
      <c r="G128" t="s">
        <v>393</v>
      </c>
      <c r="H128" t="s">
        <v>901</v>
      </c>
      <c r="I128">
        <v>10</v>
      </c>
      <c r="L128" t="s">
        <v>1189</v>
      </c>
      <c r="M128" t="s">
        <v>1008</v>
      </c>
      <c r="R128">
        <v>100691</v>
      </c>
      <c r="T128">
        <v>26</v>
      </c>
    </row>
    <row r="129" spans="1:20" x14ac:dyDescent="0.2">
      <c r="A129" t="s">
        <v>819</v>
      </c>
      <c r="B129" t="s">
        <v>624</v>
      </c>
      <c r="D129" t="s">
        <v>896</v>
      </c>
      <c r="E129" t="s">
        <v>900</v>
      </c>
      <c r="F129">
        <v>4</v>
      </c>
      <c r="G129" t="s">
        <v>393</v>
      </c>
      <c r="H129" t="s">
        <v>901</v>
      </c>
      <c r="I129">
        <v>10</v>
      </c>
      <c r="L129" t="s">
        <v>1190</v>
      </c>
      <c r="M129" t="s">
        <v>1009</v>
      </c>
      <c r="R129">
        <v>92009</v>
      </c>
      <c r="T129">
        <v>24</v>
      </c>
    </row>
    <row r="130" spans="1:20" x14ac:dyDescent="0.2">
      <c r="A130" t="s">
        <v>820</v>
      </c>
      <c r="B130" t="s">
        <v>624</v>
      </c>
      <c r="D130" t="s">
        <v>896</v>
      </c>
      <c r="E130" t="s">
        <v>900</v>
      </c>
      <c r="F130">
        <v>4</v>
      </c>
      <c r="G130" t="s">
        <v>393</v>
      </c>
      <c r="H130" t="s">
        <v>901</v>
      </c>
      <c r="I130">
        <v>10</v>
      </c>
      <c r="L130" t="s">
        <v>1191</v>
      </c>
      <c r="M130" t="s">
        <v>1010</v>
      </c>
      <c r="R130">
        <v>83771</v>
      </c>
      <c r="T130">
        <v>22</v>
      </c>
    </row>
    <row r="131" spans="1:20" x14ac:dyDescent="0.2">
      <c r="A131" t="s">
        <v>821</v>
      </c>
      <c r="B131" t="s">
        <v>624</v>
      </c>
      <c r="D131" t="s">
        <v>896</v>
      </c>
      <c r="E131" t="s">
        <v>900</v>
      </c>
      <c r="F131">
        <v>4</v>
      </c>
      <c r="G131" t="s">
        <v>393</v>
      </c>
      <c r="H131" t="s">
        <v>901</v>
      </c>
      <c r="I131">
        <v>10</v>
      </c>
      <c r="L131" t="s">
        <v>1192</v>
      </c>
      <c r="M131" t="s">
        <v>1011</v>
      </c>
      <c r="R131">
        <v>68906</v>
      </c>
      <c r="T131">
        <v>29</v>
      </c>
    </row>
    <row r="132" spans="1:20" x14ac:dyDescent="0.2">
      <c r="A132" t="s">
        <v>822</v>
      </c>
      <c r="B132" t="s">
        <v>624</v>
      </c>
      <c r="D132" t="s">
        <v>896</v>
      </c>
      <c r="E132" t="s">
        <v>900</v>
      </c>
      <c r="F132">
        <v>4</v>
      </c>
      <c r="G132" t="s">
        <v>393</v>
      </c>
      <c r="H132" t="s">
        <v>901</v>
      </c>
      <c r="I132">
        <v>10</v>
      </c>
      <c r="L132" t="s">
        <v>1193</v>
      </c>
      <c r="M132" t="s">
        <v>1012</v>
      </c>
      <c r="R132">
        <v>88642</v>
      </c>
      <c r="T132">
        <v>28</v>
      </c>
    </row>
    <row r="133" spans="1:20" x14ac:dyDescent="0.2">
      <c r="A133" t="s">
        <v>823</v>
      </c>
      <c r="B133" t="s">
        <v>624</v>
      </c>
      <c r="D133" t="s">
        <v>896</v>
      </c>
      <c r="E133" t="s">
        <v>900</v>
      </c>
      <c r="F133">
        <v>4</v>
      </c>
      <c r="G133" t="s">
        <v>393</v>
      </c>
      <c r="H133" t="s">
        <v>901</v>
      </c>
      <c r="I133">
        <v>10</v>
      </c>
      <c r="L133" t="s">
        <v>1194</v>
      </c>
      <c r="M133" t="s">
        <v>1195</v>
      </c>
      <c r="R133">
        <v>365</v>
      </c>
      <c r="T133">
        <v>2</v>
      </c>
    </row>
    <row r="134" spans="1:20" x14ac:dyDescent="0.2">
      <c r="A134" t="s">
        <v>824</v>
      </c>
      <c r="B134" t="s">
        <v>624</v>
      </c>
      <c r="D134" t="s">
        <v>896</v>
      </c>
      <c r="E134" t="s">
        <v>900</v>
      </c>
      <c r="F134">
        <v>4</v>
      </c>
      <c r="G134" t="s">
        <v>393</v>
      </c>
      <c r="H134" t="s">
        <v>901</v>
      </c>
      <c r="I134">
        <v>10</v>
      </c>
      <c r="L134" t="s">
        <v>1196</v>
      </c>
      <c r="M134" t="s">
        <v>1197</v>
      </c>
      <c r="R134">
        <v>420</v>
      </c>
      <c r="T134">
        <v>2</v>
      </c>
    </row>
    <row r="135" spans="1:20" x14ac:dyDescent="0.2">
      <c r="A135" t="s">
        <v>825</v>
      </c>
      <c r="B135" t="s">
        <v>624</v>
      </c>
      <c r="D135" t="s">
        <v>894</v>
      </c>
      <c r="E135" t="s">
        <v>900</v>
      </c>
      <c r="F135">
        <v>4</v>
      </c>
      <c r="G135" t="s">
        <v>393</v>
      </c>
      <c r="H135" t="s">
        <v>901</v>
      </c>
      <c r="I135">
        <v>10</v>
      </c>
      <c r="L135" t="s">
        <v>1198</v>
      </c>
      <c r="M135" t="s">
        <v>1013</v>
      </c>
      <c r="R135">
        <v>86722</v>
      </c>
      <c r="T135">
        <v>24</v>
      </c>
    </row>
    <row r="136" spans="1:20" x14ac:dyDescent="0.2">
      <c r="A136" t="s">
        <v>826</v>
      </c>
      <c r="B136" t="s">
        <v>624</v>
      </c>
      <c r="D136" t="s">
        <v>894</v>
      </c>
      <c r="E136" t="s">
        <v>900</v>
      </c>
      <c r="F136">
        <v>4</v>
      </c>
      <c r="G136" t="s">
        <v>393</v>
      </c>
      <c r="H136" t="s">
        <v>901</v>
      </c>
      <c r="I136">
        <v>10</v>
      </c>
      <c r="L136" t="s">
        <v>1199</v>
      </c>
      <c r="M136" t="s">
        <v>1014</v>
      </c>
      <c r="R136">
        <v>41707</v>
      </c>
      <c r="T136">
        <v>20</v>
      </c>
    </row>
    <row r="137" spans="1:20" x14ac:dyDescent="0.2">
      <c r="A137" t="s">
        <v>827</v>
      </c>
      <c r="B137" t="s">
        <v>624</v>
      </c>
      <c r="D137" t="s">
        <v>894</v>
      </c>
      <c r="E137" t="s">
        <v>900</v>
      </c>
      <c r="F137">
        <v>4</v>
      </c>
      <c r="G137" t="s">
        <v>393</v>
      </c>
      <c r="H137" t="s">
        <v>901</v>
      </c>
      <c r="I137">
        <v>10</v>
      </c>
      <c r="L137" t="s">
        <v>1200</v>
      </c>
      <c r="M137" t="s">
        <v>1015</v>
      </c>
      <c r="R137">
        <v>86056</v>
      </c>
      <c r="T137">
        <v>23</v>
      </c>
    </row>
    <row r="138" spans="1:20" x14ac:dyDescent="0.2">
      <c r="A138" t="s">
        <v>828</v>
      </c>
      <c r="B138" t="s">
        <v>624</v>
      </c>
      <c r="D138" t="s">
        <v>894</v>
      </c>
      <c r="E138" t="s">
        <v>900</v>
      </c>
      <c r="F138">
        <v>4</v>
      </c>
      <c r="G138" t="s">
        <v>393</v>
      </c>
      <c r="H138" t="s">
        <v>901</v>
      </c>
      <c r="I138">
        <v>10</v>
      </c>
      <c r="L138" t="s">
        <v>1201</v>
      </c>
      <c r="M138" t="s">
        <v>1016</v>
      </c>
      <c r="R138">
        <v>109773</v>
      </c>
      <c r="T138">
        <v>21</v>
      </c>
    </row>
    <row r="139" spans="1:20" x14ac:dyDescent="0.2">
      <c r="A139" t="s">
        <v>829</v>
      </c>
      <c r="B139" t="s">
        <v>624</v>
      </c>
      <c r="D139" t="s">
        <v>894</v>
      </c>
      <c r="E139" t="s">
        <v>900</v>
      </c>
      <c r="F139">
        <v>4</v>
      </c>
      <c r="G139" t="s">
        <v>393</v>
      </c>
      <c r="H139" t="s">
        <v>901</v>
      </c>
      <c r="I139">
        <v>10</v>
      </c>
      <c r="L139" t="s">
        <v>1202</v>
      </c>
      <c r="M139" t="s">
        <v>1017</v>
      </c>
      <c r="R139">
        <v>50993</v>
      </c>
      <c r="T139">
        <v>18</v>
      </c>
    </row>
    <row r="140" spans="1:20" x14ac:dyDescent="0.2">
      <c r="A140" t="s">
        <v>830</v>
      </c>
      <c r="B140" t="s">
        <v>624</v>
      </c>
      <c r="D140" t="s">
        <v>894</v>
      </c>
      <c r="E140" t="s">
        <v>900</v>
      </c>
      <c r="F140">
        <v>4</v>
      </c>
      <c r="G140" t="s">
        <v>393</v>
      </c>
      <c r="H140" t="s">
        <v>901</v>
      </c>
      <c r="I140">
        <v>10</v>
      </c>
      <c r="L140" t="s">
        <v>1203</v>
      </c>
      <c r="M140" t="s">
        <v>1018</v>
      </c>
      <c r="R140">
        <v>101369</v>
      </c>
      <c r="T140">
        <v>24</v>
      </c>
    </row>
    <row r="141" spans="1:20" x14ac:dyDescent="0.2">
      <c r="A141" t="s">
        <v>831</v>
      </c>
      <c r="B141" t="s">
        <v>624</v>
      </c>
      <c r="D141" t="s">
        <v>897</v>
      </c>
      <c r="E141" t="s">
        <v>900</v>
      </c>
      <c r="F141">
        <v>4</v>
      </c>
      <c r="G141" t="s">
        <v>393</v>
      </c>
      <c r="H141" t="s">
        <v>901</v>
      </c>
      <c r="I141">
        <v>10</v>
      </c>
      <c r="L141" t="s">
        <v>1204</v>
      </c>
      <c r="M141" t="s">
        <v>1019</v>
      </c>
      <c r="R141">
        <v>107067</v>
      </c>
      <c r="T141">
        <v>21</v>
      </c>
    </row>
    <row r="142" spans="1:20" x14ac:dyDescent="0.2">
      <c r="A142" t="s">
        <v>832</v>
      </c>
      <c r="B142" t="s">
        <v>624</v>
      </c>
      <c r="D142" t="s">
        <v>897</v>
      </c>
      <c r="E142" t="s">
        <v>900</v>
      </c>
      <c r="F142">
        <v>4</v>
      </c>
      <c r="G142" t="s">
        <v>393</v>
      </c>
      <c r="H142" t="s">
        <v>901</v>
      </c>
      <c r="I142">
        <v>10</v>
      </c>
      <c r="L142" t="s">
        <v>1205</v>
      </c>
      <c r="M142" t="s">
        <v>1020</v>
      </c>
      <c r="R142">
        <v>108718</v>
      </c>
      <c r="T142">
        <v>22</v>
      </c>
    </row>
    <row r="143" spans="1:20" x14ac:dyDescent="0.2">
      <c r="A143" t="s">
        <v>833</v>
      </c>
      <c r="B143" t="s">
        <v>624</v>
      </c>
      <c r="D143" t="s">
        <v>897</v>
      </c>
      <c r="E143" t="s">
        <v>900</v>
      </c>
      <c r="F143">
        <v>4</v>
      </c>
      <c r="G143" t="s">
        <v>393</v>
      </c>
      <c r="H143" t="s">
        <v>901</v>
      </c>
      <c r="I143">
        <v>10</v>
      </c>
      <c r="L143" t="s">
        <v>1206</v>
      </c>
      <c r="M143" t="s">
        <v>1021</v>
      </c>
      <c r="R143">
        <v>80857</v>
      </c>
      <c r="T143">
        <v>24</v>
      </c>
    </row>
    <row r="144" spans="1:20" x14ac:dyDescent="0.2">
      <c r="A144" t="s">
        <v>834</v>
      </c>
      <c r="B144" t="s">
        <v>624</v>
      </c>
      <c r="D144" t="s">
        <v>897</v>
      </c>
      <c r="E144" t="s">
        <v>900</v>
      </c>
      <c r="F144">
        <v>4</v>
      </c>
      <c r="G144" t="s">
        <v>393</v>
      </c>
      <c r="H144" t="s">
        <v>901</v>
      </c>
      <c r="I144">
        <v>10</v>
      </c>
      <c r="L144" t="s">
        <v>1207</v>
      </c>
      <c r="M144" t="s">
        <v>1022</v>
      </c>
      <c r="R144">
        <v>79774</v>
      </c>
      <c r="T144">
        <v>18</v>
      </c>
    </row>
    <row r="145" spans="1:20" x14ac:dyDescent="0.2">
      <c r="A145" t="s">
        <v>835</v>
      </c>
      <c r="B145" t="s">
        <v>624</v>
      </c>
      <c r="D145" t="s">
        <v>897</v>
      </c>
      <c r="E145" t="s">
        <v>900</v>
      </c>
      <c r="F145">
        <v>4</v>
      </c>
      <c r="G145" t="s">
        <v>393</v>
      </c>
      <c r="H145" t="s">
        <v>901</v>
      </c>
      <c r="I145">
        <v>10</v>
      </c>
      <c r="L145" t="s">
        <v>1208</v>
      </c>
      <c r="M145" t="s">
        <v>1023</v>
      </c>
      <c r="R145">
        <v>124729</v>
      </c>
      <c r="T145">
        <v>20</v>
      </c>
    </row>
    <row r="146" spans="1:20" x14ac:dyDescent="0.2">
      <c r="A146" t="s">
        <v>836</v>
      </c>
      <c r="B146" t="s">
        <v>624</v>
      </c>
      <c r="D146" t="s">
        <v>897</v>
      </c>
      <c r="E146" t="s">
        <v>900</v>
      </c>
      <c r="F146">
        <v>4</v>
      </c>
      <c r="G146" t="s">
        <v>393</v>
      </c>
      <c r="H146" t="s">
        <v>901</v>
      </c>
      <c r="I146">
        <v>10</v>
      </c>
      <c r="L146" t="s">
        <v>1209</v>
      </c>
      <c r="M146" t="s">
        <v>1024</v>
      </c>
      <c r="R146">
        <v>80108</v>
      </c>
      <c r="T146">
        <v>25</v>
      </c>
    </row>
    <row r="147" spans="1:20" x14ac:dyDescent="0.2">
      <c r="A147" t="s">
        <v>837</v>
      </c>
      <c r="B147" t="s">
        <v>624</v>
      </c>
      <c r="D147" t="s">
        <v>897</v>
      </c>
      <c r="E147" t="s">
        <v>900</v>
      </c>
      <c r="F147">
        <v>4</v>
      </c>
      <c r="G147" t="s">
        <v>393</v>
      </c>
      <c r="H147" t="s">
        <v>901</v>
      </c>
      <c r="I147">
        <v>10</v>
      </c>
      <c r="L147" t="s">
        <v>1210</v>
      </c>
      <c r="M147" t="s">
        <v>1025</v>
      </c>
      <c r="R147">
        <v>91310</v>
      </c>
      <c r="T147">
        <v>21</v>
      </c>
    </row>
    <row r="148" spans="1:20" x14ac:dyDescent="0.2">
      <c r="A148" t="s">
        <v>838</v>
      </c>
      <c r="B148" t="s">
        <v>624</v>
      </c>
      <c r="D148" t="s">
        <v>897</v>
      </c>
      <c r="E148" t="s">
        <v>900</v>
      </c>
      <c r="F148">
        <v>4</v>
      </c>
      <c r="G148" t="s">
        <v>393</v>
      </c>
      <c r="H148" t="s">
        <v>901</v>
      </c>
      <c r="I148">
        <v>10</v>
      </c>
      <c r="L148" t="s">
        <v>1211</v>
      </c>
      <c r="M148" t="s">
        <v>1026</v>
      </c>
      <c r="R148">
        <v>126062</v>
      </c>
      <c r="T148">
        <v>23</v>
      </c>
    </row>
    <row r="149" spans="1:20" x14ac:dyDescent="0.2">
      <c r="A149" t="s">
        <v>839</v>
      </c>
      <c r="B149" t="s">
        <v>624</v>
      </c>
      <c r="D149" t="s">
        <v>897</v>
      </c>
      <c r="E149" t="s">
        <v>900</v>
      </c>
      <c r="F149">
        <v>4</v>
      </c>
      <c r="G149" t="s">
        <v>393</v>
      </c>
      <c r="H149" t="s">
        <v>901</v>
      </c>
      <c r="I149">
        <v>10</v>
      </c>
      <c r="L149" t="s">
        <v>1212</v>
      </c>
      <c r="M149" t="s">
        <v>1213</v>
      </c>
      <c r="R149">
        <v>1121</v>
      </c>
      <c r="T149">
        <v>2</v>
      </c>
    </row>
    <row r="150" spans="1:20" x14ac:dyDescent="0.2">
      <c r="A150" t="s">
        <v>840</v>
      </c>
      <c r="B150" t="s">
        <v>624</v>
      </c>
      <c r="D150" t="s">
        <v>897</v>
      </c>
      <c r="E150" t="s">
        <v>900</v>
      </c>
      <c r="F150">
        <v>4</v>
      </c>
      <c r="G150" t="s">
        <v>393</v>
      </c>
      <c r="H150" t="s">
        <v>901</v>
      </c>
      <c r="I150">
        <v>10</v>
      </c>
      <c r="L150" t="s">
        <v>1214</v>
      </c>
      <c r="M150" t="s">
        <v>1215</v>
      </c>
      <c r="R150">
        <v>0</v>
      </c>
      <c r="T150">
        <v>0</v>
      </c>
    </row>
    <row r="151" spans="1:20" x14ac:dyDescent="0.2">
      <c r="A151" t="s">
        <v>841</v>
      </c>
      <c r="B151" t="s">
        <v>624</v>
      </c>
      <c r="D151" t="s">
        <v>896</v>
      </c>
      <c r="E151" t="s">
        <v>900</v>
      </c>
      <c r="F151">
        <v>4</v>
      </c>
      <c r="G151" t="s">
        <v>393</v>
      </c>
      <c r="H151" t="s">
        <v>901</v>
      </c>
      <c r="I151">
        <v>10</v>
      </c>
      <c r="L151" t="s">
        <v>1216</v>
      </c>
      <c r="M151" t="s">
        <v>1027</v>
      </c>
      <c r="R151">
        <v>139998</v>
      </c>
      <c r="T151">
        <v>28</v>
      </c>
    </row>
    <row r="152" spans="1:20" x14ac:dyDescent="0.2">
      <c r="A152" t="s">
        <v>842</v>
      </c>
      <c r="B152" t="s">
        <v>624</v>
      </c>
      <c r="D152" t="s">
        <v>896</v>
      </c>
      <c r="E152" t="s">
        <v>900</v>
      </c>
      <c r="F152">
        <v>4</v>
      </c>
      <c r="G152" t="s">
        <v>393</v>
      </c>
      <c r="H152" t="s">
        <v>901</v>
      </c>
      <c r="I152">
        <v>10</v>
      </c>
      <c r="L152" t="s">
        <v>1217</v>
      </c>
      <c r="M152" t="s">
        <v>1028</v>
      </c>
      <c r="R152">
        <v>89574</v>
      </c>
      <c r="T152">
        <v>29</v>
      </c>
    </row>
    <row r="153" spans="1:20" x14ac:dyDescent="0.2">
      <c r="A153" t="s">
        <v>843</v>
      </c>
      <c r="B153" t="s">
        <v>624</v>
      </c>
      <c r="D153" t="s">
        <v>896</v>
      </c>
      <c r="E153" t="s">
        <v>900</v>
      </c>
      <c r="F153">
        <v>4</v>
      </c>
      <c r="G153" t="s">
        <v>393</v>
      </c>
      <c r="H153" t="s">
        <v>901</v>
      </c>
      <c r="I153">
        <v>10</v>
      </c>
      <c r="L153" t="s">
        <v>1218</v>
      </c>
      <c r="M153" t="s">
        <v>1029</v>
      </c>
      <c r="R153">
        <v>111395</v>
      </c>
      <c r="T153">
        <v>33</v>
      </c>
    </row>
    <row r="154" spans="1:20" x14ac:dyDescent="0.2">
      <c r="A154" t="s">
        <v>844</v>
      </c>
      <c r="B154" t="s">
        <v>624</v>
      </c>
      <c r="D154" t="s">
        <v>896</v>
      </c>
      <c r="E154" t="s">
        <v>900</v>
      </c>
      <c r="F154">
        <v>4</v>
      </c>
      <c r="G154" t="s">
        <v>393</v>
      </c>
      <c r="H154" t="s">
        <v>901</v>
      </c>
      <c r="I154">
        <v>10</v>
      </c>
      <c r="L154" t="s">
        <v>1219</v>
      </c>
      <c r="M154" t="s">
        <v>1030</v>
      </c>
      <c r="R154">
        <v>69330</v>
      </c>
      <c r="T154">
        <v>24</v>
      </c>
    </row>
    <row r="155" spans="1:20" x14ac:dyDescent="0.2">
      <c r="A155" t="s">
        <v>845</v>
      </c>
      <c r="B155" t="s">
        <v>624</v>
      </c>
      <c r="D155" t="s">
        <v>892</v>
      </c>
      <c r="E155" t="s">
        <v>900</v>
      </c>
      <c r="F155">
        <v>4</v>
      </c>
      <c r="G155" t="s">
        <v>393</v>
      </c>
      <c r="H155" t="s">
        <v>901</v>
      </c>
      <c r="I155">
        <v>10</v>
      </c>
      <c r="L155" t="s">
        <v>1220</v>
      </c>
      <c r="M155" t="s">
        <v>1031</v>
      </c>
      <c r="R155">
        <v>144409</v>
      </c>
      <c r="T155">
        <v>28</v>
      </c>
    </row>
    <row r="156" spans="1:20" x14ac:dyDescent="0.2">
      <c r="A156" t="s">
        <v>846</v>
      </c>
      <c r="B156" t="s">
        <v>624</v>
      </c>
      <c r="D156" t="s">
        <v>892</v>
      </c>
      <c r="E156" t="s">
        <v>900</v>
      </c>
      <c r="F156">
        <v>4</v>
      </c>
      <c r="G156" t="s">
        <v>393</v>
      </c>
      <c r="H156" t="s">
        <v>901</v>
      </c>
      <c r="I156">
        <v>10</v>
      </c>
      <c r="L156" t="s">
        <v>1221</v>
      </c>
      <c r="M156" t="s">
        <v>1032</v>
      </c>
      <c r="R156">
        <v>152027</v>
      </c>
      <c r="T156">
        <v>27</v>
      </c>
    </row>
    <row r="157" spans="1:20" x14ac:dyDescent="0.2">
      <c r="A157" t="s">
        <v>847</v>
      </c>
      <c r="B157" t="s">
        <v>624</v>
      </c>
      <c r="D157" t="s">
        <v>896</v>
      </c>
      <c r="E157" t="s">
        <v>900</v>
      </c>
      <c r="F157">
        <v>4</v>
      </c>
      <c r="G157" t="s">
        <v>393</v>
      </c>
      <c r="H157" t="s">
        <v>901</v>
      </c>
      <c r="I157">
        <v>10</v>
      </c>
      <c r="L157" t="s">
        <v>1222</v>
      </c>
      <c r="M157" t="s">
        <v>1033</v>
      </c>
      <c r="R157">
        <v>58709</v>
      </c>
      <c r="T157">
        <v>29</v>
      </c>
    </row>
    <row r="158" spans="1:20" x14ac:dyDescent="0.2">
      <c r="A158" t="s">
        <v>848</v>
      </c>
      <c r="B158" t="s">
        <v>624</v>
      </c>
      <c r="D158" t="s">
        <v>896</v>
      </c>
      <c r="E158" t="s">
        <v>900</v>
      </c>
      <c r="F158">
        <v>4</v>
      </c>
      <c r="G158" t="s">
        <v>393</v>
      </c>
      <c r="H158" t="s">
        <v>901</v>
      </c>
      <c r="I158">
        <v>10</v>
      </c>
      <c r="L158" t="s">
        <v>1223</v>
      </c>
      <c r="M158" t="s">
        <v>1034</v>
      </c>
      <c r="R158">
        <v>60556</v>
      </c>
      <c r="T158">
        <v>30</v>
      </c>
    </row>
    <row r="159" spans="1:20" x14ac:dyDescent="0.2">
      <c r="A159" t="s">
        <v>849</v>
      </c>
      <c r="B159" t="s">
        <v>624</v>
      </c>
      <c r="D159" t="s">
        <v>896</v>
      </c>
      <c r="E159" t="s">
        <v>900</v>
      </c>
      <c r="F159">
        <v>4</v>
      </c>
      <c r="G159" t="s">
        <v>393</v>
      </c>
      <c r="H159" t="s">
        <v>901</v>
      </c>
      <c r="I159">
        <v>10</v>
      </c>
      <c r="L159" t="s">
        <v>1224</v>
      </c>
      <c r="M159" t="s">
        <v>1035</v>
      </c>
      <c r="R159">
        <v>92596</v>
      </c>
      <c r="T159">
        <v>27</v>
      </c>
    </row>
    <row r="160" spans="1:20" x14ac:dyDescent="0.2">
      <c r="A160" t="s">
        <v>850</v>
      </c>
      <c r="B160" t="s">
        <v>624</v>
      </c>
      <c r="D160" t="s">
        <v>896</v>
      </c>
      <c r="E160" t="s">
        <v>900</v>
      </c>
      <c r="F160">
        <v>4</v>
      </c>
      <c r="G160" t="s">
        <v>393</v>
      </c>
      <c r="H160" t="s">
        <v>901</v>
      </c>
      <c r="I160">
        <v>10</v>
      </c>
      <c r="L160" t="s">
        <v>1225</v>
      </c>
      <c r="M160" t="s">
        <v>1036</v>
      </c>
      <c r="R160">
        <v>68238</v>
      </c>
      <c r="T160">
        <v>30</v>
      </c>
    </row>
    <row r="161" spans="1:20" x14ac:dyDescent="0.2">
      <c r="A161" t="s">
        <v>851</v>
      </c>
      <c r="B161" t="s">
        <v>624</v>
      </c>
      <c r="D161" t="s">
        <v>896</v>
      </c>
      <c r="E161" t="s">
        <v>900</v>
      </c>
      <c r="F161">
        <v>4</v>
      </c>
      <c r="G161" t="s">
        <v>393</v>
      </c>
      <c r="H161" t="s">
        <v>901</v>
      </c>
      <c r="I161">
        <v>10</v>
      </c>
      <c r="L161" t="s">
        <v>1226</v>
      </c>
      <c r="M161" t="s">
        <v>1227</v>
      </c>
      <c r="R161">
        <v>387</v>
      </c>
      <c r="T161">
        <v>2</v>
      </c>
    </row>
    <row r="162" spans="1:20" x14ac:dyDescent="0.2">
      <c r="A162" t="s">
        <v>852</v>
      </c>
      <c r="B162" t="s">
        <v>624</v>
      </c>
      <c r="D162" t="s">
        <v>896</v>
      </c>
      <c r="E162" t="s">
        <v>900</v>
      </c>
      <c r="F162">
        <v>4</v>
      </c>
      <c r="G162" t="s">
        <v>393</v>
      </c>
      <c r="H162" t="s">
        <v>901</v>
      </c>
      <c r="I162">
        <v>10</v>
      </c>
      <c r="L162" t="s">
        <v>1228</v>
      </c>
      <c r="M162" t="s">
        <v>1229</v>
      </c>
      <c r="R162">
        <v>193</v>
      </c>
      <c r="T162">
        <v>2</v>
      </c>
    </row>
    <row r="163" spans="1:20" x14ac:dyDescent="0.2">
      <c r="A163" t="s">
        <v>853</v>
      </c>
      <c r="B163" t="s">
        <v>624</v>
      </c>
      <c r="D163" t="s">
        <v>897</v>
      </c>
      <c r="E163" t="s">
        <v>900</v>
      </c>
      <c r="F163">
        <v>4</v>
      </c>
      <c r="G163" t="s">
        <v>393</v>
      </c>
      <c r="H163" t="s">
        <v>901</v>
      </c>
      <c r="I163">
        <v>10</v>
      </c>
      <c r="L163" t="s">
        <v>1230</v>
      </c>
      <c r="M163" t="s">
        <v>1037</v>
      </c>
      <c r="R163">
        <v>44143</v>
      </c>
      <c r="T163">
        <v>15</v>
      </c>
    </row>
    <row r="164" spans="1:20" x14ac:dyDescent="0.2">
      <c r="A164" t="s">
        <v>854</v>
      </c>
      <c r="B164" t="s">
        <v>624</v>
      </c>
      <c r="D164" t="s">
        <v>897</v>
      </c>
      <c r="E164" t="s">
        <v>900</v>
      </c>
      <c r="F164">
        <v>4</v>
      </c>
      <c r="G164" t="s">
        <v>393</v>
      </c>
      <c r="H164" t="s">
        <v>901</v>
      </c>
      <c r="I164">
        <v>10</v>
      </c>
      <c r="L164" t="s">
        <v>1231</v>
      </c>
      <c r="M164" t="s">
        <v>1038</v>
      </c>
      <c r="R164">
        <v>61265</v>
      </c>
      <c r="T164">
        <v>20</v>
      </c>
    </row>
    <row r="165" spans="1:20" x14ac:dyDescent="0.2">
      <c r="A165" t="s">
        <v>855</v>
      </c>
      <c r="B165" t="s">
        <v>624</v>
      </c>
      <c r="D165" t="s">
        <v>897</v>
      </c>
      <c r="E165" t="s">
        <v>900</v>
      </c>
      <c r="F165">
        <v>4</v>
      </c>
      <c r="G165" t="s">
        <v>393</v>
      </c>
      <c r="H165" t="s">
        <v>901</v>
      </c>
      <c r="I165">
        <v>10</v>
      </c>
      <c r="L165" t="s">
        <v>1232</v>
      </c>
      <c r="M165" t="s">
        <v>1039</v>
      </c>
      <c r="R165">
        <v>93952</v>
      </c>
      <c r="T165">
        <v>9</v>
      </c>
    </row>
    <row r="166" spans="1:20" x14ac:dyDescent="0.2">
      <c r="A166" t="s">
        <v>856</v>
      </c>
      <c r="B166" t="s">
        <v>624</v>
      </c>
      <c r="D166" t="s">
        <v>897</v>
      </c>
      <c r="E166" t="s">
        <v>900</v>
      </c>
      <c r="F166">
        <v>4</v>
      </c>
      <c r="G166" t="s">
        <v>393</v>
      </c>
      <c r="H166" t="s">
        <v>901</v>
      </c>
      <c r="I166">
        <v>10</v>
      </c>
      <c r="L166" t="s">
        <v>1233</v>
      </c>
      <c r="M166" t="s">
        <v>1040</v>
      </c>
      <c r="R166">
        <v>69927</v>
      </c>
      <c r="T166">
        <v>15</v>
      </c>
    </row>
    <row r="167" spans="1:20" x14ac:dyDescent="0.2">
      <c r="A167" t="s">
        <v>857</v>
      </c>
      <c r="B167" t="s">
        <v>624</v>
      </c>
      <c r="D167" t="s">
        <v>897</v>
      </c>
      <c r="E167" t="s">
        <v>900</v>
      </c>
      <c r="F167">
        <v>4</v>
      </c>
      <c r="G167" t="s">
        <v>393</v>
      </c>
      <c r="H167" t="s">
        <v>901</v>
      </c>
      <c r="I167">
        <v>10</v>
      </c>
      <c r="L167" t="s">
        <v>1234</v>
      </c>
      <c r="M167" t="s">
        <v>1041</v>
      </c>
      <c r="R167">
        <v>101559</v>
      </c>
      <c r="T167">
        <v>16</v>
      </c>
    </row>
    <row r="168" spans="1:20" x14ac:dyDescent="0.2">
      <c r="A168" t="s">
        <v>858</v>
      </c>
      <c r="B168" t="s">
        <v>624</v>
      </c>
      <c r="D168" t="s">
        <v>897</v>
      </c>
      <c r="E168" t="s">
        <v>900</v>
      </c>
      <c r="F168">
        <v>4</v>
      </c>
      <c r="G168" t="s">
        <v>393</v>
      </c>
      <c r="H168" t="s">
        <v>901</v>
      </c>
      <c r="I168">
        <v>10</v>
      </c>
      <c r="L168" t="s">
        <v>1235</v>
      </c>
      <c r="M168" t="s">
        <v>1042</v>
      </c>
      <c r="R168">
        <v>36683</v>
      </c>
      <c r="T168">
        <v>16</v>
      </c>
    </row>
    <row r="169" spans="1:20" x14ac:dyDescent="0.2">
      <c r="A169" t="s">
        <v>859</v>
      </c>
      <c r="B169" t="s">
        <v>624</v>
      </c>
      <c r="D169" t="s">
        <v>897</v>
      </c>
      <c r="E169" t="s">
        <v>900</v>
      </c>
      <c r="F169">
        <v>4</v>
      </c>
      <c r="G169" t="s">
        <v>393</v>
      </c>
      <c r="H169" t="s">
        <v>901</v>
      </c>
      <c r="I169">
        <v>10</v>
      </c>
      <c r="L169" t="s">
        <v>1236</v>
      </c>
      <c r="M169" t="s">
        <v>1043</v>
      </c>
      <c r="R169">
        <v>121521</v>
      </c>
      <c r="T169">
        <v>18</v>
      </c>
    </row>
    <row r="170" spans="1:20" x14ac:dyDescent="0.2">
      <c r="A170" t="s">
        <v>860</v>
      </c>
      <c r="B170" t="s">
        <v>624</v>
      </c>
      <c r="D170" t="s">
        <v>897</v>
      </c>
      <c r="E170" t="s">
        <v>900</v>
      </c>
      <c r="F170">
        <v>4</v>
      </c>
      <c r="G170" t="s">
        <v>393</v>
      </c>
      <c r="H170" t="s">
        <v>901</v>
      </c>
      <c r="I170">
        <v>10</v>
      </c>
      <c r="L170" t="s">
        <v>1237</v>
      </c>
      <c r="M170" t="s">
        <v>1044</v>
      </c>
      <c r="R170">
        <v>39407</v>
      </c>
      <c r="T170">
        <v>15</v>
      </c>
    </row>
    <row r="171" spans="1:20" x14ac:dyDescent="0.2">
      <c r="A171" t="s">
        <v>861</v>
      </c>
      <c r="B171" t="s">
        <v>624</v>
      </c>
      <c r="D171" t="s">
        <v>897</v>
      </c>
      <c r="E171" t="s">
        <v>900</v>
      </c>
      <c r="F171">
        <v>4</v>
      </c>
      <c r="G171" t="s">
        <v>393</v>
      </c>
      <c r="H171" t="s">
        <v>901</v>
      </c>
      <c r="I171">
        <v>10</v>
      </c>
      <c r="L171" t="s">
        <v>1238</v>
      </c>
      <c r="M171" t="s">
        <v>1045</v>
      </c>
      <c r="R171">
        <v>66437</v>
      </c>
      <c r="T171">
        <v>12</v>
      </c>
    </row>
    <row r="172" spans="1:20" x14ac:dyDescent="0.2">
      <c r="A172" t="s">
        <v>862</v>
      </c>
      <c r="B172" t="s">
        <v>624</v>
      </c>
      <c r="D172" t="s">
        <v>897</v>
      </c>
      <c r="E172" t="s">
        <v>900</v>
      </c>
      <c r="F172">
        <v>4</v>
      </c>
      <c r="G172" t="s">
        <v>393</v>
      </c>
      <c r="H172" t="s">
        <v>901</v>
      </c>
      <c r="I172">
        <v>10</v>
      </c>
      <c r="L172" t="s">
        <v>1239</v>
      </c>
      <c r="M172" t="s">
        <v>1046</v>
      </c>
      <c r="R172">
        <v>49476</v>
      </c>
      <c r="T172">
        <v>12</v>
      </c>
    </row>
    <row r="173" spans="1:20" x14ac:dyDescent="0.2">
      <c r="A173" t="s">
        <v>863</v>
      </c>
      <c r="B173" t="s">
        <v>624</v>
      </c>
      <c r="D173" t="s">
        <v>897</v>
      </c>
      <c r="E173" t="s">
        <v>900</v>
      </c>
      <c r="F173">
        <v>4</v>
      </c>
      <c r="G173" t="s">
        <v>393</v>
      </c>
      <c r="H173" t="s">
        <v>901</v>
      </c>
      <c r="I173">
        <v>10</v>
      </c>
      <c r="L173" t="s">
        <v>1240</v>
      </c>
      <c r="M173" t="s">
        <v>1241</v>
      </c>
      <c r="R173">
        <v>420</v>
      </c>
      <c r="T173">
        <v>1</v>
      </c>
    </row>
    <row r="174" spans="1:20" x14ac:dyDescent="0.2">
      <c r="A174" t="s">
        <v>864</v>
      </c>
      <c r="B174" t="s">
        <v>624</v>
      </c>
      <c r="D174" t="s">
        <v>897</v>
      </c>
      <c r="E174" t="s">
        <v>900</v>
      </c>
      <c r="F174">
        <v>4</v>
      </c>
      <c r="G174" t="s">
        <v>393</v>
      </c>
      <c r="H174" t="s">
        <v>901</v>
      </c>
      <c r="I174">
        <v>10</v>
      </c>
      <c r="L174" t="s">
        <v>1242</v>
      </c>
      <c r="M174" t="s">
        <v>1243</v>
      </c>
      <c r="R174">
        <v>7449</v>
      </c>
      <c r="T174">
        <v>3</v>
      </c>
    </row>
    <row r="175" spans="1:20" x14ac:dyDescent="0.2">
      <c r="A175" t="s">
        <v>679</v>
      </c>
      <c r="B175" t="s">
        <v>624</v>
      </c>
      <c r="D175" t="s">
        <v>898</v>
      </c>
      <c r="E175" t="s">
        <v>900</v>
      </c>
      <c r="F175">
        <v>4</v>
      </c>
      <c r="G175" t="s">
        <v>393</v>
      </c>
      <c r="H175" t="s">
        <v>901</v>
      </c>
      <c r="I175">
        <v>10</v>
      </c>
      <c r="L175" t="s">
        <v>1244</v>
      </c>
      <c r="M175" t="s">
        <v>1245</v>
      </c>
      <c r="R175">
        <v>191</v>
      </c>
      <c r="T175">
        <v>1</v>
      </c>
    </row>
    <row r="176" spans="1:20" x14ac:dyDescent="0.2">
      <c r="A176" t="s">
        <v>680</v>
      </c>
      <c r="B176" t="s">
        <v>624</v>
      </c>
      <c r="D176" t="s">
        <v>899</v>
      </c>
      <c r="E176" t="s">
        <v>900</v>
      </c>
      <c r="F176">
        <v>4</v>
      </c>
      <c r="G176" t="s">
        <v>393</v>
      </c>
      <c r="H176" t="s">
        <v>901</v>
      </c>
      <c r="I176">
        <v>10</v>
      </c>
      <c r="L176" t="s">
        <v>1246</v>
      </c>
      <c r="M176" t="s">
        <v>1247</v>
      </c>
      <c r="R176">
        <v>3502</v>
      </c>
      <c r="T176">
        <v>2</v>
      </c>
    </row>
    <row r="177" spans="1:20" x14ac:dyDescent="0.2">
      <c r="A177" t="s">
        <v>681</v>
      </c>
      <c r="B177" t="s">
        <v>624</v>
      </c>
      <c r="D177" t="s">
        <v>898</v>
      </c>
      <c r="E177" t="s">
        <v>900</v>
      </c>
      <c r="F177">
        <v>4</v>
      </c>
      <c r="G177" t="s">
        <v>393</v>
      </c>
      <c r="H177" t="s">
        <v>901</v>
      </c>
      <c r="I177">
        <v>10</v>
      </c>
      <c r="L177" t="s">
        <v>1248</v>
      </c>
      <c r="M177" t="s">
        <v>1249</v>
      </c>
      <c r="R177">
        <v>293</v>
      </c>
      <c r="T177">
        <v>1</v>
      </c>
    </row>
    <row r="178" spans="1:20" x14ac:dyDescent="0.2">
      <c r="A178" t="s">
        <v>682</v>
      </c>
      <c r="B178" t="s">
        <v>624</v>
      </c>
      <c r="D178" t="s">
        <v>898</v>
      </c>
      <c r="E178" t="s">
        <v>900</v>
      </c>
      <c r="F178">
        <v>4</v>
      </c>
      <c r="G178" t="s">
        <v>393</v>
      </c>
      <c r="H178" t="s">
        <v>901</v>
      </c>
      <c r="I178">
        <v>10</v>
      </c>
      <c r="L178" t="s">
        <v>1250</v>
      </c>
      <c r="M178" t="s">
        <v>1251</v>
      </c>
      <c r="R178">
        <v>1221</v>
      </c>
      <c r="T178">
        <v>3</v>
      </c>
    </row>
    <row r="179" spans="1:20" x14ac:dyDescent="0.2">
      <c r="A179" t="s">
        <v>683</v>
      </c>
      <c r="B179" t="s">
        <v>624</v>
      </c>
      <c r="D179" t="s">
        <v>899</v>
      </c>
      <c r="E179" t="s">
        <v>900</v>
      </c>
      <c r="F179">
        <v>4</v>
      </c>
      <c r="G179" t="s">
        <v>393</v>
      </c>
      <c r="H179" t="s">
        <v>901</v>
      </c>
      <c r="I179">
        <v>10</v>
      </c>
      <c r="L179" t="s">
        <v>1252</v>
      </c>
      <c r="M179" t="s">
        <v>1253</v>
      </c>
      <c r="R179">
        <v>761</v>
      </c>
      <c r="T179">
        <v>2</v>
      </c>
    </row>
    <row r="180" spans="1:20" x14ac:dyDescent="0.2">
      <c r="A180" t="s">
        <v>684</v>
      </c>
      <c r="B180" t="s">
        <v>624</v>
      </c>
      <c r="D180" t="s">
        <v>892</v>
      </c>
      <c r="E180" t="s">
        <v>900</v>
      </c>
      <c r="F180">
        <v>4</v>
      </c>
      <c r="G180" t="s">
        <v>393</v>
      </c>
      <c r="H180" t="s">
        <v>901</v>
      </c>
      <c r="I180">
        <v>10</v>
      </c>
      <c r="L180" t="s">
        <v>1254</v>
      </c>
      <c r="M180" t="s">
        <v>1255</v>
      </c>
      <c r="R180">
        <v>3287</v>
      </c>
      <c r="T180">
        <v>2</v>
      </c>
    </row>
    <row r="181" spans="1:20" x14ac:dyDescent="0.2">
      <c r="A181" t="s">
        <v>685</v>
      </c>
      <c r="B181" t="s">
        <v>624</v>
      </c>
      <c r="D181" t="s">
        <v>898</v>
      </c>
      <c r="E181" t="s">
        <v>900</v>
      </c>
      <c r="F181">
        <v>4</v>
      </c>
      <c r="G181" t="s">
        <v>393</v>
      </c>
      <c r="H181" t="s">
        <v>901</v>
      </c>
      <c r="I181">
        <v>10</v>
      </c>
      <c r="L181" t="s">
        <v>1256</v>
      </c>
      <c r="M181" t="s">
        <v>1257</v>
      </c>
      <c r="R181">
        <v>1342</v>
      </c>
      <c r="T181">
        <v>2</v>
      </c>
    </row>
    <row r="182" spans="1:20" x14ac:dyDescent="0.2">
      <c r="A182" t="s">
        <v>658</v>
      </c>
      <c r="B182" t="s">
        <v>624</v>
      </c>
      <c r="D182" t="s">
        <v>899</v>
      </c>
      <c r="E182" t="s">
        <v>900</v>
      </c>
      <c r="F182">
        <v>4</v>
      </c>
      <c r="G182" t="s">
        <v>393</v>
      </c>
      <c r="H182" t="s">
        <v>901</v>
      </c>
      <c r="I182">
        <v>10</v>
      </c>
      <c r="L182" t="s">
        <v>1258</v>
      </c>
      <c r="M182" t="s">
        <v>1259</v>
      </c>
      <c r="R182">
        <v>471</v>
      </c>
      <c r="T182">
        <v>1</v>
      </c>
    </row>
    <row r="183" spans="1:20" x14ac:dyDescent="0.2">
      <c r="A183" t="s">
        <v>659</v>
      </c>
      <c r="B183" t="s">
        <v>624</v>
      </c>
      <c r="D183" t="s">
        <v>898</v>
      </c>
      <c r="E183" t="s">
        <v>900</v>
      </c>
      <c r="F183">
        <v>4</v>
      </c>
      <c r="G183" t="s">
        <v>393</v>
      </c>
      <c r="H183" t="s">
        <v>901</v>
      </c>
      <c r="I183">
        <v>10</v>
      </c>
      <c r="L183" t="s">
        <v>1260</v>
      </c>
      <c r="M183" t="s">
        <v>1261</v>
      </c>
      <c r="R183">
        <v>4940</v>
      </c>
      <c r="T183">
        <v>1</v>
      </c>
    </row>
    <row r="184" spans="1:20" x14ac:dyDescent="0.2">
      <c r="A184" t="s">
        <v>686</v>
      </c>
      <c r="B184" t="s">
        <v>624</v>
      </c>
      <c r="D184" t="s">
        <v>899</v>
      </c>
      <c r="E184" t="s">
        <v>900</v>
      </c>
      <c r="F184">
        <v>4</v>
      </c>
      <c r="G184" t="s">
        <v>393</v>
      </c>
      <c r="H184" t="s">
        <v>901</v>
      </c>
      <c r="I184">
        <v>10</v>
      </c>
      <c r="L184" t="s">
        <v>1262</v>
      </c>
      <c r="M184" t="s">
        <v>1263</v>
      </c>
      <c r="R184">
        <v>7598</v>
      </c>
      <c r="T184">
        <v>4</v>
      </c>
    </row>
    <row r="185" spans="1:20" x14ac:dyDescent="0.2">
      <c r="A185" t="s">
        <v>687</v>
      </c>
      <c r="B185" t="s">
        <v>624</v>
      </c>
      <c r="D185" t="s">
        <v>898</v>
      </c>
      <c r="E185" t="s">
        <v>900</v>
      </c>
      <c r="F185">
        <v>4</v>
      </c>
      <c r="G185" t="s">
        <v>393</v>
      </c>
      <c r="H185" t="s">
        <v>901</v>
      </c>
      <c r="I185">
        <v>10</v>
      </c>
      <c r="L185" t="s">
        <v>1264</v>
      </c>
      <c r="M185" t="s">
        <v>1265</v>
      </c>
      <c r="R185">
        <v>8928</v>
      </c>
      <c r="T185">
        <v>5</v>
      </c>
    </row>
    <row r="186" spans="1:20" x14ac:dyDescent="0.2">
      <c r="A186" t="s">
        <v>688</v>
      </c>
      <c r="B186" t="s">
        <v>624</v>
      </c>
      <c r="D186" t="s">
        <v>899</v>
      </c>
      <c r="E186" t="s">
        <v>900</v>
      </c>
      <c r="F186">
        <v>4</v>
      </c>
      <c r="G186" t="s">
        <v>393</v>
      </c>
      <c r="H186" t="s">
        <v>901</v>
      </c>
      <c r="I186">
        <v>10</v>
      </c>
      <c r="L186" t="s">
        <v>1266</v>
      </c>
      <c r="M186" t="s">
        <v>1267</v>
      </c>
      <c r="R186">
        <v>7966</v>
      </c>
      <c r="T186">
        <v>5</v>
      </c>
    </row>
    <row r="187" spans="1:20" x14ac:dyDescent="0.2">
      <c r="A187" t="s">
        <v>689</v>
      </c>
      <c r="B187" t="s">
        <v>624</v>
      </c>
      <c r="D187" t="s">
        <v>898</v>
      </c>
      <c r="E187" t="s">
        <v>900</v>
      </c>
      <c r="F187">
        <v>4</v>
      </c>
      <c r="G187" t="s">
        <v>393</v>
      </c>
      <c r="H187" t="s">
        <v>901</v>
      </c>
      <c r="I187">
        <v>10</v>
      </c>
      <c r="L187" t="s">
        <v>1268</v>
      </c>
      <c r="M187" t="s">
        <v>1269</v>
      </c>
      <c r="R187">
        <v>12282</v>
      </c>
      <c r="T187">
        <v>4</v>
      </c>
    </row>
    <row r="188" spans="1:20" x14ac:dyDescent="0.2">
      <c r="A188" t="s">
        <v>690</v>
      </c>
      <c r="B188" t="s">
        <v>624</v>
      </c>
      <c r="D188" t="s">
        <v>899</v>
      </c>
      <c r="E188" t="s">
        <v>900</v>
      </c>
      <c r="F188">
        <v>4</v>
      </c>
      <c r="G188" t="s">
        <v>393</v>
      </c>
      <c r="H188" t="s">
        <v>901</v>
      </c>
      <c r="I188">
        <v>10</v>
      </c>
      <c r="L188" t="s">
        <v>1270</v>
      </c>
      <c r="M188" t="s">
        <v>1271</v>
      </c>
      <c r="R188">
        <v>5650</v>
      </c>
      <c r="T188">
        <v>2</v>
      </c>
    </row>
    <row r="189" spans="1:20" x14ac:dyDescent="0.2">
      <c r="A189" t="s">
        <v>691</v>
      </c>
      <c r="B189" t="s">
        <v>624</v>
      </c>
      <c r="D189" t="s">
        <v>898</v>
      </c>
      <c r="E189" t="s">
        <v>900</v>
      </c>
      <c r="F189">
        <v>4</v>
      </c>
      <c r="G189" t="s">
        <v>393</v>
      </c>
      <c r="H189" t="s">
        <v>901</v>
      </c>
      <c r="I189">
        <v>10</v>
      </c>
      <c r="L189" t="s">
        <v>1272</v>
      </c>
      <c r="M189" t="s">
        <v>1273</v>
      </c>
      <c r="R189">
        <v>32711</v>
      </c>
      <c r="T189">
        <v>6</v>
      </c>
    </row>
    <row r="190" spans="1:20" x14ac:dyDescent="0.2">
      <c r="A190" t="s">
        <v>692</v>
      </c>
      <c r="B190" t="s">
        <v>624</v>
      </c>
      <c r="D190" t="s">
        <v>899</v>
      </c>
      <c r="E190" t="s">
        <v>900</v>
      </c>
      <c r="F190">
        <v>4</v>
      </c>
      <c r="G190" t="s">
        <v>393</v>
      </c>
      <c r="H190" t="s">
        <v>901</v>
      </c>
      <c r="I190">
        <v>10</v>
      </c>
      <c r="L190" t="s">
        <v>1274</v>
      </c>
      <c r="M190" t="s">
        <v>1275</v>
      </c>
      <c r="R190">
        <v>11697</v>
      </c>
      <c r="T190">
        <v>10</v>
      </c>
    </row>
    <row r="191" spans="1:20" x14ac:dyDescent="0.2">
      <c r="A191" t="s">
        <v>660</v>
      </c>
      <c r="B191" t="s">
        <v>624</v>
      </c>
      <c r="D191" t="s">
        <v>898</v>
      </c>
      <c r="E191" t="s">
        <v>900</v>
      </c>
      <c r="F191">
        <v>4</v>
      </c>
      <c r="G191" t="s">
        <v>393</v>
      </c>
      <c r="H191" t="s">
        <v>901</v>
      </c>
      <c r="I191">
        <v>10</v>
      </c>
      <c r="L191" t="s">
        <v>1276</v>
      </c>
      <c r="M191" t="s">
        <v>1277</v>
      </c>
      <c r="R191">
        <v>27187</v>
      </c>
      <c r="T191">
        <v>5</v>
      </c>
    </row>
    <row r="192" spans="1:20" x14ac:dyDescent="0.2">
      <c r="A192" t="s">
        <v>661</v>
      </c>
      <c r="B192" t="s">
        <v>624</v>
      </c>
      <c r="D192" t="s">
        <v>899</v>
      </c>
      <c r="E192" t="s">
        <v>900</v>
      </c>
      <c r="F192">
        <v>4</v>
      </c>
      <c r="G192" t="s">
        <v>393</v>
      </c>
      <c r="H192" t="s">
        <v>901</v>
      </c>
      <c r="I192">
        <v>10</v>
      </c>
      <c r="L192" t="s">
        <v>1278</v>
      </c>
      <c r="M192" t="s">
        <v>1279</v>
      </c>
      <c r="R192">
        <v>34146</v>
      </c>
      <c r="T192">
        <v>7</v>
      </c>
    </row>
  </sheetData>
  <phoneticPr fontId="6" type="noConversion"/>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700-000000000000}">
          <x14:formula1>
            <xm:f>'Drop-down values'!$E$40:$H$40</xm:f>
          </x14:formula1>
          <xm:sqref>G4:G192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
  <sheetViews>
    <sheetView topLeftCell="C1" workbookViewId="0">
      <selection activeCell="I22" sqref="I22"/>
    </sheetView>
  </sheetViews>
  <sheetFormatPr baseColWidth="10" defaultRowHeight="15" x14ac:dyDescent="0.2"/>
  <sheetData>
    <row r="1" spans="1:21" x14ac:dyDescent="0.2">
      <c r="A1" t="s">
        <v>462</v>
      </c>
      <c r="B1" s="1" t="s">
        <v>15</v>
      </c>
      <c r="C1" s="3" t="s">
        <v>18</v>
      </c>
      <c r="D1" s="3" t="s">
        <v>18</v>
      </c>
      <c r="E1" s="3" t="s">
        <v>18</v>
      </c>
      <c r="F1" s="3" t="s">
        <v>18</v>
      </c>
      <c r="G1" s="3" t="s">
        <v>18</v>
      </c>
      <c r="H1" s="3" t="s">
        <v>18</v>
      </c>
      <c r="I1" s="3" t="s">
        <v>18</v>
      </c>
      <c r="J1" s="2" t="s">
        <v>29</v>
      </c>
      <c r="K1" s="3" t="s">
        <v>18</v>
      </c>
      <c r="L1" s="2" t="s">
        <v>29</v>
      </c>
      <c r="M1" s="2" t="s">
        <v>29</v>
      </c>
      <c r="N1" s="2" t="s">
        <v>29</v>
      </c>
      <c r="O1" s="4" t="s">
        <v>25</v>
      </c>
      <c r="P1" s="3" t="s">
        <v>18</v>
      </c>
      <c r="Q1" s="3" t="s">
        <v>18</v>
      </c>
      <c r="R1" s="3" t="s">
        <v>18</v>
      </c>
      <c r="S1" s="3" t="s">
        <v>18</v>
      </c>
      <c r="T1" s="3" t="s">
        <v>18</v>
      </c>
      <c r="U1" s="4" t="s">
        <v>25</v>
      </c>
    </row>
    <row r="2" spans="1:21" x14ac:dyDescent="0.2">
      <c r="A2" t="s">
        <v>463</v>
      </c>
      <c r="B2" t="s">
        <v>598</v>
      </c>
      <c r="C2" t="s">
        <v>598</v>
      </c>
      <c r="D2" t="s">
        <v>598</v>
      </c>
      <c r="E2" t="s">
        <v>598</v>
      </c>
      <c r="F2" t="s">
        <v>598</v>
      </c>
      <c r="G2" t="s">
        <v>598</v>
      </c>
      <c r="H2" t="s">
        <v>598</v>
      </c>
      <c r="I2" t="s">
        <v>598</v>
      </c>
      <c r="J2" t="s">
        <v>598</v>
      </c>
      <c r="K2" t="s">
        <v>598</v>
      </c>
      <c r="L2" t="s">
        <v>598</v>
      </c>
      <c r="M2" t="s">
        <v>598</v>
      </c>
      <c r="N2" t="s">
        <v>598</v>
      </c>
      <c r="O2" t="s">
        <v>598</v>
      </c>
      <c r="P2" t="s">
        <v>598</v>
      </c>
      <c r="Q2" t="s">
        <v>598</v>
      </c>
      <c r="R2" t="s">
        <v>598</v>
      </c>
      <c r="S2" t="s">
        <v>598</v>
      </c>
      <c r="T2" t="s">
        <v>598</v>
      </c>
      <c r="U2" t="s">
        <v>598</v>
      </c>
    </row>
    <row r="3" spans="1:21" x14ac:dyDescent="0.2">
      <c r="A3" s="5" t="s">
        <v>599</v>
      </c>
      <c r="B3" s="5" t="s">
        <v>600</v>
      </c>
      <c r="C3" s="5" t="s">
        <v>412</v>
      </c>
      <c r="D3" s="5" t="s">
        <v>413</v>
      </c>
      <c r="E3" s="5" t="s">
        <v>414</v>
      </c>
      <c r="F3" s="5" t="s">
        <v>415</v>
      </c>
      <c r="G3" s="5" t="s">
        <v>416</v>
      </c>
      <c r="H3" s="5" t="s">
        <v>417</v>
      </c>
      <c r="I3" s="5" t="s">
        <v>601</v>
      </c>
      <c r="J3" s="5" t="s">
        <v>602</v>
      </c>
      <c r="K3" s="5" t="s">
        <v>603</v>
      </c>
      <c r="L3" s="5" t="s">
        <v>410</v>
      </c>
      <c r="M3" s="5" t="s">
        <v>604</v>
      </c>
      <c r="N3" s="5" t="s">
        <v>605</v>
      </c>
      <c r="O3" s="5" t="s">
        <v>606</v>
      </c>
      <c r="P3" s="5" t="s">
        <v>607</v>
      </c>
      <c r="Q3" s="5" t="s">
        <v>608</v>
      </c>
      <c r="R3" s="5" t="s">
        <v>609</v>
      </c>
      <c r="S3" s="5" t="s">
        <v>610</v>
      </c>
      <c r="T3" s="5" t="s">
        <v>611</v>
      </c>
      <c r="U3" s="5" t="s">
        <v>612</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800-000000000000}">
          <x14:formula1>
            <xm:f>'Drop-down values'!$E$45:$L$45</xm:f>
          </x14:formula1>
          <xm:sqref>L4:L103</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3"/>
  <sheetViews>
    <sheetView workbookViewId="0">
      <selection activeCell="B8" sqref="B8"/>
    </sheetView>
  </sheetViews>
  <sheetFormatPr baseColWidth="10" defaultRowHeight="15" x14ac:dyDescent="0.2"/>
  <sheetData>
    <row r="1" spans="1:21" x14ac:dyDescent="0.2">
      <c r="A1" t="s">
        <v>462</v>
      </c>
      <c r="B1" s="1" t="s">
        <v>15</v>
      </c>
      <c r="C1" s="3" t="s">
        <v>18</v>
      </c>
      <c r="D1" s="3" t="s">
        <v>18</v>
      </c>
      <c r="E1" s="3" t="s">
        <v>18</v>
      </c>
      <c r="F1" s="3" t="s">
        <v>18</v>
      </c>
      <c r="G1" s="3" t="s">
        <v>18</v>
      </c>
      <c r="H1" s="3" t="s">
        <v>18</v>
      </c>
      <c r="I1" s="3" t="s">
        <v>18</v>
      </c>
      <c r="J1" s="2" t="s">
        <v>29</v>
      </c>
      <c r="K1" s="3" t="s">
        <v>18</v>
      </c>
      <c r="L1" s="2" t="s">
        <v>29</v>
      </c>
      <c r="M1" s="2" t="s">
        <v>29</v>
      </c>
      <c r="N1" s="2" t="s">
        <v>29</v>
      </c>
      <c r="O1" s="4" t="s">
        <v>25</v>
      </c>
      <c r="P1" s="3" t="s">
        <v>18</v>
      </c>
      <c r="Q1" s="3" t="s">
        <v>18</v>
      </c>
      <c r="R1" s="3" t="s">
        <v>18</v>
      </c>
      <c r="S1" s="3" t="s">
        <v>18</v>
      </c>
      <c r="T1" s="3" t="s">
        <v>18</v>
      </c>
      <c r="U1" s="4" t="s">
        <v>25</v>
      </c>
    </row>
    <row r="2" spans="1:21" x14ac:dyDescent="0.2">
      <c r="A2" t="s">
        <v>463</v>
      </c>
      <c r="B2" t="s">
        <v>598</v>
      </c>
      <c r="C2" t="s">
        <v>598</v>
      </c>
      <c r="D2" t="s">
        <v>598</v>
      </c>
      <c r="E2" t="s">
        <v>598</v>
      </c>
      <c r="F2" t="s">
        <v>598</v>
      </c>
      <c r="G2" t="s">
        <v>598</v>
      </c>
      <c r="H2" t="s">
        <v>598</v>
      </c>
      <c r="I2" t="s">
        <v>598</v>
      </c>
      <c r="J2" t="s">
        <v>598</v>
      </c>
      <c r="K2" t="s">
        <v>598</v>
      </c>
      <c r="L2" t="s">
        <v>598</v>
      </c>
      <c r="M2" t="s">
        <v>598</v>
      </c>
      <c r="N2" t="s">
        <v>598</v>
      </c>
      <c r="O2" t="s">
        <v>598</v>
      </c>
      <c r="P2" t="s">
        <v>598</v>
      </c>
      <c r="Q2" t="s">
        <v>598</v>
      </c>
      <c r="R2" t="s">
        <v>598</v>
      </c>
      <c r="S2" t="s">
        <v>598</v>
      </c>
      <c r="T2" t="s">
        <v>598</v>
      </c>
      <c r="U2" t="s">
        <v>598</v>
      </c>
    </row>
    <row r="3" spans="1:21" x14ac:dyDescent="0.2">
      <c r="A3" s="5" t="s">
        <v>599</v>
      </c>
      <c r="B3" s="5" t="s">
        <v>600</v>
      </c>
      <c r="C3" s="5" t="s">
        <v>412</v>
      </c>
      <c r="D3" s="5" t="s">
        <v>413</v>
      </c>
      <c r="E3" s="5" t="s">
        <v>414</v>
      </c>
      <c r="F3" s="5" t="s">
        <v>415</v>
      </c>
      <c r="G3" s="5" t="s">
        <v>416</v>
      </c>
      <c r="H3" s="5" t="s">
        <v>417</v>
      </c>
      <c r="I3" s="5" t="s">
        <v>601</v>
      </c>
      <c r="J3" s="5" t="s">
        <v>602</v>
      </c>
      <c r="K3" s="5" t="s">
        <v>603</v>
      </c>
      <c r="L3" s="5" t="s">
        <v>410</v>
      </c>
      <c r="M3" s="5" t="s">
        <v>604</v>
      </c>
      <c r="N3" s="5" t="s">
        <v>605</v>
      </c>
      <c r="O3" s="5" t="s">
        <v>606</v>
      </c>
      <c r="P3" s="5" t="s">
        <v>607</v>
      </c>
      <c r="Q3" s="5" t="s">
        <v>608</v>
      </c>
      <c r="R3" s="5" t="s">
        <v>609</v>
      </c>
      <c r="S3" s="5" t="s">
        <v>610</v>
      </c>
      <c r="T3" s="5" t="s">
        <v>611</v>
      </c>
      <c r="U3" s="5" t="s">
        <v>612</v>
      </c>
    </row>
  </sheetData>
  <pageMargins left="0.7" right="0.7" top="0.75" bottom="0.75" header="0.3" footer="0.3"/>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list" allowBlank="1" showInputMessage="1" xr:uid="{00000000-0002-0000-0900-000000000000}">
          <x14:formula1>
            <xm:f>'Drop-down values'!$E$45:$L$45</xm:f>
          </x14:formula1>
          <xm:sqref>L4:L103</xm:sqref>
        </x14:dataValidation>
      </x14:dataValidations>
    </ext>
  </extLst>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projectMetadata</vt:lpstr>
      <vt:lpstr>Drop-down values</vt:lpstr>
      <vt:lpstr>sampleMetadata</vt:lpstr>
      <vt:lpstr>ampData</vt:lpstr>
      <vt:lpstr>stdData</vt:lpstr>
      <vt:lpstr>eLowQuantData</vt:lpstr>
      <vt:lpstr>experimentRunMetadata</vt:lpstr>
      <vt:lpstr>taxaRaw</vt:lpstr>
      <vt:lpstr>taxaFinal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tak025</dc:creator>
  <cp:lastModifiedBy>Clare Cowgill</cp:lastModifiedBy>
  <dcterms:created xsi:type="dcterms:W3CDTF">2025-07-02T11:33:59Z</dcterms:created>
  <dcterms:modified xsi:type="dcterms:W3CDTF">2026-07-04T09:07:55Z</dcterms:modified>
</cp:coreProperties>
</file>